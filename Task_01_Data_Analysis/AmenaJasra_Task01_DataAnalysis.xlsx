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J\excel\Edulumos\Task1\"/>
    </mc:Choice>
  </mc:AlternateContent>
  <xr:revisionPtr revIDLastSave="0" documentId="13_ncr:1_{0E598062-0949-447F-A47C-E912637DEEA3}" xr6:coauthVersionLast="47" xr6:coauthVersionMax="47" xr10:uidLastSave="{00000000-0000-0000-0000-000000000000}"/>
  <bookViews>
    <workbookView xWindow="-110" yWindow="-110" windowWidth="19420" windowHeight="10300" activeTab="1" xr2:uid="{DFB57C56-08A9-4120-815D-546A9EF6F65F}"/>
  </bookViews>
  <sheets>
    <sheet name="data_analysis" sheetId="1" r:id="rId1"/>
    <sheet name="visualizations" sheetId="3" r:id="rId2"/>
  </sheets>
  <definedNames>
    <definedName name="_xlchart.v1.0" hidden="1">data_analysis!$F$2:$F$88</definedName>
    <definedName name="_xlchart.v1.1" hidden="1">data_analysis!$F$2:$F$88</definedName>
  </definedNames>
  <calcPr calcId="191029"/>
  <pivotCaches>
    <pivotCache cacheId="3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F91" i="1"/>
  <c r="F89" i="1"/>
  <c r="G89" i="1"/>
  <c r="H64" i="1"/>
  <c r="H23" i="1"/>
  <c r="H65" i="1"/>
  <c r="H24" i="1"/>
  <c r="H50" i="1"/>
  <c r="H2" i="1"/>
  <c r="H25" i="1"/>
  <c r="H26" i="1"/>
  <c r="H27" i="1"/>
  <c r="H28" i="1"/>
  <c r="H3" i="1"/>
  <c r="H29" i="1"/>
  <c r="H30" i="1"/>
  <c r="H31" i="1"/>
  <c r="H51" i="1"/>
  <c r="H32" i="1"/>
  <c r="H33" i="1"/>
  <c r="H66" i="1"/>
  <c r="H67" i="1"/>
  <c r="H68" i="1"/>
  <c r="H69" i="1"/>
  <c r="H70" i="1"/>
  <c r="H34" i="1"/>
  <c r="H71" i="1"/>
  <c r="H4" i="1"/>
  <c r="H35" i="1"/>
  <c r="H36" i="1"/>
  <c r="H52" i="1"/>
  <c r="H5" i="1"/>
  <c r="H37" i="1"/>
  <c r="H38" i="1"/>
  <c r="H6" i="1"/>
  <c r="H7" i="1"/>
  <c r="H53" i="1"/>
  <c r="H39" i="1"/>
  <c r="H72" i="1"/>
  <c r="H73" i="1"/>
  <c r="H54" i="1"/>
  <c r="H40" i="1"/>
  <c r="H55" i="1"/>
  <c r="H8" i="1"/>
  <c r="H74" i="1"/>
  <c r="H19" i="1"/>
  <c r="H41" i="1"/>
  <c r="H56" i="1"/>
  <c r="H9" i="1"/>
  <c r="H42" i="1"/>
  <c r="H10" i="1"/>
  <c r="H43" i="1"/>
  <c r="H20" i="1"/>
  <c r="H11" i="1"/>
  <c r="H57" i="1"/>
  <c r="H58" i="1"/>
  <c r="H75" i="1"/>
  <c r="H59" i="1"/>
  <c r="H76" i="1"/>
  <c r="H60" i="1"/>
  <c r="H77" i="1"/>
  <c r="H78" i="1"/>
  <c r="H79" i="1"/>
  <c r="H12" i="1"/>
  <c r="H61" i="1"/>
  <c r="H13" i="1"/>
  <c r="H80" i="1"/>
  <c r="H44" i="1"/>
  <c r="H81" i="1"/>
  <c r="H45" i="1"/>
  <c r="H14" i="1"/>
  <c r="H21" i="1"/>
  <c r="H15" i="1"/>
  <c r="H46" i="1"/>
  <c r="H62" i="1"/>
  <c r="H82" i="1"/>
  <c r="H16" i="1"/>
  <c r="H83" i="1"/>
  <c r="H84" i="1"/>
  <c r="H47" i="1"/>
  <c r="H85" i="1"/>
  <c r="H86" i="1"/>
  <c r="H63" i="1"/>
  <c r="H22" i="1"/>
  <c r="H48" i="1"/>
  <c r="H49" i="1"/>
  <c r="H17" i="1"/>
  <c r="H18" i="1"/>
  <c r="H87" i="1"/>
  <c r="H88" i="1"/>
  <c r="D89" i="1"/>
  <c r="F90" i="1"/>
</calcChain>
</file>

<file path=xl/sharedStrings.xml><?xml version="1.0" encoding="utf-8"?>
<sst xmlns="http://schemas.openxmlformats.org/spreadsheetml/2006/main" count="385" uniqueCount="116">
  <si>
    <t>Name</t>
  </si>
  <si>
    <t>Gender</t>
  </si>
  <si>
    <t>Department</t>
  </si>
  <si>
    <t>Age</t>
  </si>
  <si>
    <t>Date Joined</t>
  </si>
  <si>
    <t>Salary</t>
  </si>
  <si>
    <t>Rating</t>
  </si>
  <si>
    <t>Lindy Guillet</t>
  </si>
  <si>
    <t>Male</t>
  </si>
  <si>
    <t>Sales</t>
  </si>
  <si>
    <t>Ambros Murthwaite</t>
  </si>
  <si>
    <t>Procurement</t>
  </si>
  <si>
    <t>Average</t>
  </si>
  <si>
    <t>Tatum Hush</t>
  </si>
  <si>
    <t>Female</t>
  </si>
  <si>
    <t>Finance</t>
  </si>
  <si>
    <t>Poor</t>
  </si>
  <si>
    <t>Hoyt D'Alesco</t>
  </si>
  <si>
    <t>Halimeda Kuscha</t>
  </si>
  <si>
    <t>Erin Androsik</t>
  </si>
  <si>
    <t>Vic Radolf</t>
  </si>
  <si>
    <t>Website</t>
  </si>
  <si>
    <t>William Reeveley</t>
  </si>
  <si>
    <t>Ewart Laphorn</t>
  </si>
  <si>
    <t>HR</t>
  </si>
  <si>
    <t>Bev Lashley</t>
  </si>
  <si>
    <t>Kath Bletsoe</t>
  </si>
  <si>
    <t>Murry Dryburgh</t>
  </si>
  <si>
    <t>Kaine Padly</t>
  </si>
  <si>
    <t>Kassi Jonson</t>
  </si>
  <si>
    <t>Simon Kembery</t>
  </si>
  <si>
    <t>Orton Livick</t>
  </si>
  <si>
    <t>Kelci Walkden</t>
  </si>
  <si>
    <t>Dotty Strutley</t>
  </si>
  <si>
    <t>Shari McNee</t>
  </si>
  <si>
    <t>Oby Sorrel</t>
  </si>
  <si>
    <t>Husein Augar</t>
  </si>
  <si>
    <t>Brien Boise</t>
  </si>
  <si>
    <t>Esmaria Denecamp</t>
  </si>
  <si>
    <t>Barr Faughny</t>
  </si>
  <si>
    <t>Exceptional</t>
  </si>
  <si>
    <t>Merrilee Plenty</t>
  </si>
  <si>
    <t>Niall Selesnick</t>
  </si>
  <si>
    <t>Beverie Moffet</t>
  </si>
  <si>
    <t>Jehu Rudeforth</t>
  </si>
  <si>
    <t>Camilla Castle</t>
  </si>
  <si>
    <t>Very poor</t>
  </si>
  <si>
    <t>Roddy Speechley</t>
  </si>
  <si>
    <t>Gray Seamon</t>
  </si>
  <si>
    <t>Madelene Upcott</t>
  </si>
  <si>
    <t>Violante Courtonne</t>
  </si>
  <si>
    <t>Bernie Gorges</t>
  </si>
  <si>
    <t>Torrance Collier</t>
  </si>
  <si>
    <t>Dyna Doucette</t>
  </si>
  <si>
    <t>Gunar Cockshoot</t>
  </si>
  <si>
    <t>Kaye Crocroft</t>
  </si>
  <si>
    <t>Allene Gobbet</t>
  </si>
  <si>
    <t>Sibyl Dunkirk</t>
  </si>
  <si>
    <t>Agnes Collicott</t>
  </si>
  <si>
    <t>Leilah Yesinin</t>
  </si>
  <si>
    <t>Mollie Hanway</t>
  </si>
  <si>
    <t>Kellsie Waby</t>
  </si>
  <si>
    <t>Hyacinthie Braybrooke</t>
  </si>
  <si>
    <t>Van Tuxwell</t>
  </si>
  <si>
    <t>Lilyan Klimpt</t>
  </si>
  <si>
    <t>Tawnya Tickel</t>
  </si>
  <si>
    <t>Jan Morforth</t>
  </si>
  <si>
    <t>Florinda Crace</t>
  </si>
  <si>
    <t>Tracy Renad</t>
  </si>
  <si>
    <t>Myer McCory</t>
  </si>
  <si>
    <t>Bennie Pepis</t>
  </si>
  <si>
    <t>Rafaelita Blaksland</t>
  </si>
  <si>
    <t>Mahalia Larcher</t>
  </si>
  <si>
    <t>Andria Kimpton</t>
  </si>
  <si>
    <t>Valentia Etteridge</t>
  </si>
  <si>
    <t>Virginia McConville</t>
  </si>
  <si>
    <t>Wilone O'Kielt</t>
  </si>
  <si>
    <t>Janene Hairsine</t>
  </si>
  <si>
    <t>Alta Kaszper</t>
  </si>
  <si>
    <t>Oran Buxcy</t>
  </si>
  <si>
    <t>Hinda Label</t>
  </si>
  <si>
    <t>Marney O'Breen</t>
  </si>
  <si>
    <t>Dell Molloy</t>
  </si>
  <si>
    <t>Mallorie Waber</t>
  </si>
  <si>
    <t>Cherlyn Barter</t>
  </si>
  <si>
    <t>Ches Bonnell</t>
  </si>
  <si>
    <t>Collin Jagson</t>
  </si>
  <si>
    <t>Hogan Iles</t>
  </si>
  <si>
    <t>Gretchen Callow</t>
  </si>
  <si>
    <t>Kissiah Maydway</t>
  </si>
  <si>
    <t>Archibald Filliskirk</t>
  </si>
  <si>
    <t>Enoch Dowrey</t>
  </si>
  <si>
    <t>Bili Sizey</t>
  </si>
  <si>
    <t>Caro Chappel</t>
  </si>
  <si>
    <t>Constantino Espley</t>
  </si>
  <si>
    <t>Karlen McCaffrey</t>
  </si>
  <si>
    <t>Drusy MacCombe</t>
  </si>
  <si>
    <t>My Hanscome</t>
  </si>
  <si>
    <t>Teressa Udden</t>
  </si>
  <si>
    <t>Crissie Cordel</t>
  </si>
  <si>
    <t>Elia Cockton</t>
  </si>
  <si>
    <t>Gigi Bohling</t>
  </si>
  <si>
    <t>Ebonee Roxburgh</t>
  </si>
  <si>
    <t>Shayne Stegel</t>
  </si>
  <si>
    <t>Zach Polon</t>
  </si>
  <si>
    <t>Good</t>
  </si>
  <si>
    <t>Promotion</t>
  </si>
  <si>
    <t>Row Labels</t>
  </si>
  <si>
    <t>Grand Total</t>
  </si>
  <si>
    <t>Count of Name</t>
  </si>
  <si>
    <t>Average of Ratings Sccore</t>
  </si>
  <si>
    <t>2020</t>
  </si>
  <si>
    <t>2021</t>
  </si>
  <si>
    <t>2022</t>
  </si>
  <si>
    <t>2023</t>
  </si>
  <si>
    <t>Ratings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</si>
</sst>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applyNumberFormat="1"/>
    <xf numFmtId="44" fontId="0" fillId="0" borderId="0" xfId="1" applyFont="1"/>
    <xf numFmtId="0" fontId="2" fillId="0" borderId="0" xfId="0" applyFont="1" applyFill="1"/>
    <xf numFmtId="0" fontId="0" fillId="0" borderId="0" xfId="0" applyFill="1"/>
    <xf numFmtId="1" fontId="0" fillId="0" borderId="0" xfId="0" applyNumberFormat="1"/>
    <xf numFmtId="0" fontId="3" fillId="0" borderId="0" xfId="0" pivotButton="1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NumberFormat="1" applyFont="1"/>
    <xf numFmtId="174" fontId="3" fillId="0" borderId="0" xfId="0" pivotButton="1" applyNumberFormat="1" applyFont="1"/>
    <xf numFmtId="174" fontId="3" fillId="0" borderId="0" xfId="0" applyNumberFormat="1" applyFont="1"/>
    <xf numFmtId="174" fontId="3" fillId="0" borderId="0" xfId="0" applyNumberFormat="1" applyFont="1" applyAlignment="1">
      <alignment horizontal="left"/>
    </xf>
  </cellXfs>
  <cellStyles count="2">
    <cellStyle name="Currency" xfId="1" builtinId="4"/>
    <cellStyle name="Normal" xfId="0" builtinId="0"/>
  </cellStyles>
  <dxfs count="169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74" formatCode="0.0000"/>
    </dxf>
    <dxf>
      <numFmt numFmtId="174" formatCode="0.0000"/>
    </dxf>
    <dxf>
      <numFmt numFmtId="174" formatCode="0.0000"/>
    </dxf>
    <dxf>
      <numFmt numFmtId="174" formatCode="0.0000"/>
    </dxf>
    <dxf>
      <numFmt numFmtId="174" formatCode="0.0000"/>
    </dxf>
    <dxf>
      <numFmt numFmtId="174" formatCode="0.000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74" formatCode="0.0000"/>
    </dxf>
    <dxf>
      <numFmt numFmtId="173" formatCode="0.00000"/>
    </dxf>
    <dxf>
      <numFmt numFmtId="173" formatCode="0.00000"/>
    </dxf>
    <dxf>
      <numFmt numFmtId="173" formatCode="0.00000"/>
    </dxf>
    <dxf>
      <numFmt numFmtId="173" formatCode="0.00000"/>
    </dxf>
    <dxf>
      <numFmt numFmtId="173" formatCode="0.00000"/>
    </dxf>
    <dxf>
      <numFmt numFmtId="173" formatCode="0.00000"/>
    </dxf>
    <dxf>
      <numFmt numFmtId="174" formatCode="0.0000"/>
    </dxf>
    <dxf>
      <numFmt numFmtId="173" formatCode="0.0000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73" formatCode="0.00000"/>
    </dxf>
    <dxf>
      <numFmt numFmtId="172" formatCode="0.000000"/>
    </dxf>
    <dxf>
      <numFmt numFmtId="172" formatCode="0.000000"/>
    </dxf>
    <dxf>
      <numFmt numFmtId="172" formatCode="0.000000"/>
    </dxf>
    <dxf>
      <numFmt numFmtId="172" formatCode="0.000000"/>
    </dxf>
    <dxf>
      <numFmt numFmtId="172" formatCode="0.000000"/>
    </dxf>
    <dxf>
      <numFmt numFmtId="172" formatCode="0.000000"/>
    </dxf>
    <dxf>
      <numFmt numFmtId="172" formatCode="0.00000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72" formatCode="0.000000"/>
    </dxf>
    <dxf>
      <numFmt numFmtId="171" formatCode="0.0000000"/>
    </dxf>
    <dxf>
      <numFmt numFmtId="171" formatCode="0.0000000"/>
    </dxf>
    <dxf>
      <numFmt numFmtId="171" formatCode="0.0000000"/>
    </dxf>
    <dxf>
      <numFmt numFmtId="171" formatCode="0.0000000"/>
    </dxf>
    <dxf>
      <numFmt numFmtId="171" formatCode="0.0000000"/>
    </dxf>
    <dxf>
      <numFmt numFmtId="171" formatCode="0.0000000"/>
    </dxf>
    <dxf>
      <numFmt numFmtId="171" formatCode="0.000000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71" formatCode="0.0000000"/>
    </dxf>
    <dxf>
      <numFmt numFmtId="170" formatCode="0.00000000"/>
    </dxf>
    <dxf>
      <numFmt numFmtId="170" formatCode="0.00000000"/>
    </dxf>
    <dxf>
      <numFmt numFmtId="170" formatCode="0.00000000"/>
    </dxf>
    <dxf>
      <numFmt numFmtId="170" formatCode="0.00000000"/>
    </dxf>
    <dxf>
      <numFmt numFmtId="170" formatCode="0.00000000"/>
    </dxf>
    <dxf>
      <numFmt numFmtId="170" formatCode="0.00000000"/>
    </dxf>
    <dxf>
      <numFmt numFmtId="170" formatCode="0.0000000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70" formatCode="0.0000000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7B6AF"/>
      <color rgb="FFCC99FF"/>
      <color rgb="FFF89EE5"/>
      <color rgb="FFCC66FF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[Task1.xlsx]visualizations!PivotTable1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050419E0-CF7E-4432-A3A2-94E29F88E9C0}" type="CATEGORYNAME">
                  <a:rPr lang="en-US" sz="1200"/>
                  <a:pPr>
                    <a:defRPr/>
                  </a:pPr>
                  <a:t>[CATEGORY NAME]</a:t>
                </a:fld>
                <a:r>
                  <a:rPr lang="en-US" baseline="0"/>
                  <a:t>
</a:t>
                </a:r>
                <a:fld id="{410C8036-629F-4B75-AE88-1F2C62C291B9}" type="PERCENTAGE">
                  <a:rPr lang="en-US" sz="1200" baseline="0"/>
                  <a:pPr>
                    <a:defRPr/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dLbl>
          <c:idx val="0"/>
          <c:layout>
            <c:manualLayout>
              <c:x val="9.4368480166855936E-2"/>
              <c:y val="8.741844502736088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D62D2368-57BE-4B68-B150-9F37926D29CB}" type="CATEGORYNAME">
                  <a:rPr lang="en-US" sz="1200"/>
                  <a:pPr>
                    <a:defRPr/>
                  </a:pPr>
                  <a:t>[CATEGORY NAME]</a:t>
                </a:fld>
                <a:r>
                  <a:rPr lang="en-US" sz="1200" baseline="0"/>
                  <a:t>
</a:t>
                </a:r>
                <a:fld id="{0942D59C-6F76-439F-A757-184A354D8DD7}" type="PERCENTAGE">
                  <a:rPr lang="en-US" sz="1200" baseline="0"/>
                  <a:pPr>
                    <a:defRPr/>
                  </a:pPr>
                  <a:t>[PERCENTAGE]</a:t>
                </a:fld>
                <a:endParaRPr lang="en-US" sz="1200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dLbl>
          <c:idx val="0"/>
          <c:layout>
            <c:manualLayout>
              <c:x val="-8.4567923508856419E-2"/>
              <c:y val="0.1036962394817818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FD3CF24D-3CFA-40D0-8A30-46BDD2C069FF}" type="CATEGORYNAME">
                  <a:rPr lang="en-US" sz="1200"/>
                  <a:pPr>
                    <a:defRPr/>
                  </a:pPr>
                  <a:t>[CATEGORY NAME]</a:t>
                </a:fld>
                <a:r>
                  <a:rPr lang="en-US" sz="1200" baseline="0"/>
                  <a:t>
</a:t>
                </a:r>
                <a:fld id="{562C2F3F-847A-426A-9DE6-5783CF20422D}" type="PERCENTAGE">
                  <a:rPr lang="en-US" sz="1200" baseline="0"/>
                  <a:pPr>
                    <a:defRPr/>
                  </a:pPr>
                  <a:t>[PERCENTAGE]</a:t>
                </a:fld>
                <a:endParaRPr lang="en-US" sz="1200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dLbl>
          <c:idx val="0"/>
          <c:layout>
            <c:manualLayout>
              <c:x val="7.1672624580009905E-2"/>
              <c:y val="-0.1796645837951821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8F6FEF53-E1D8-4C6C-9297-98E1462E40BA}" type="CATEGORYNAME">
                  <a:rPr lang="en-US" sz="1200"/>
                  <a:pPr>
                    <a:defRPr/>
                  </a:pPr>
                  <a:t>[CATEGORY NAME]</a:t>
                </a:fld>
                <a:r>
                  <a:rPr lang="en-US" sz="1200" baseline="0"/>
                  <a:t>
</a:t>
                </a:r>
                <a:fld id="{4D68D83E-D407-4F14-8460-594E986B6DAC}" type="PERCENTAGE">
                  <a:rPr lang="en-US" sz="1200" baseline="0"/>
                  <a:pPr>
                    <a:defRPr/>
                  </a:pPr>
                  <a:t>[PERCENTAGE]</a:t>
                </a:fld>
                <a:endParaRPr lang="en-US" sz="1200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dLbl>
          <c:idx val="0"/>
          <c:layout>
            <c:manualLayout>
              <c:x val="-9.2330493778926673E-2"/>
              <c:y val="-0.1922027559243038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378F8C4C-77B5-4BEB-837C-172144789CC3}" type="CATEGORYNAME">
                  <a:rPr lang="en-US" sz="1200"/>
                  <a:pPr>
                    <a:defRPr/>
                  </a:pPr>
                  <a:t>[CATEGORY NAME]</a:t>
                </a:fld>
                <a:r>
                  <a:rPr lang="en-US" sz="1200" baseline="0"/>
                  <a:t>
</a:t>
                </a:r>
                <a:fld id="{EEB6269B-8C0B-4065-9322-2AD159FB149C}" type="PERCENTAGE">
                  <a:rPr lang="en-US" sz="1200" baseline="0"/>
                  <a:pPr>
                    <a:defRPr/>
                  </a:pPr>
                  <a:t>[PERCENTAGE]</a:t>
                </a:fld>
                <a:endParaRPr lang="en-US" sz="1200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visualizations!$B$8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4-3D80-47AA-9FD1-02C4C5AE49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2-3D80-47AA-9FD1-02C4C5AE49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6-3D80-47AA-9FD1-02C4C5AE49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D80-47AA-9FD1-02C4C5AE49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D80-47AA-9FD1-02C4C5AE497C}"/>
              </c:ext>
            </c:extLst>
          </c:dPt>
          <c:dLbls>
            <c:dLbl>
              <c:idx val="0"/>
              <c:layout>
                <c:manualLayout>
                  <c:x val="-8.4567923508856419E-2"/>
                  <c:y val="0.1036962394817818"/>
                </c:manualLayout>
              </c:layout>
              <c:tx>
                <c:rich>
                  <a:bodyPr/>
                  <a:lstStyle/>
                  <a:p>
                    <a:fld id="{FD3CF24D-3CFA-40D0-8A30-46BDD2C069FF}" type="CATEGORYNAME">
                      <a:rPr lang="en-US" sz="1200"/>
                      <a:pPr/>
                      <a:t>[CATEGORY NAME]</a:t>
                    </a:fld>
                    <a:r>
                      <a:rPr lang="en-US" sz="1200" baseline="0"/>
                      <a:t>
</a:t>
                    </a:r>
                    <a:fld id="{562C2F3F-847A-426A-9DE6-5783CF20422D}" type="PERCENTAGE">
                      <a:rPr lang="en-US" sz="1200" baseline="0"/>
                      <a:pPr/>
                      <a:t>[PERCENTAGE]</a:t>
                    </a:fld>
                    <a:endParaRPr lang="en-US" sz="1200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D80-47AA-9FD1-02C4C5AE497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50419E0-CF7E-4432-A3A2-94E29F88E9C0}" type="CATEGORYNAME">
                      <a:rPr lang="en-US" sz="1200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410C8036-629F-4B75-AE88-1F2C62C291B9}" type="PERCENTAGE">
                      <a:rPr lang="en-US" sz="1200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D80-47AA-9FD1-02C4C5AE497C}"/>
                </c:ext>
              </c:extLst>
            </c:dLbl>
            <c:dLbl>
              <c:idx val="2"/>
              <c:layout>
                <c:manualLayout>
                  <c:x val="-9.2330493778926673E-2"/>
                  <c:y val="-0.19220275592430383"/>
                </c:manualLayout>
              </c:layout>
              <c:tx>
                <c:rich>
                  <a:bodyPr/>
                  <a:lstStyle/>
                  <a:p>
                    <a:fld id="{378F8C4C-77B5-4BEB-837C-172144789CC3}" type="CATEGORYNAME">
                      <a:rPr lang="en-US" sz="1200"/>
                      <a:pPr/>
                      <a:t>[CATEGORY NAME]</a:t>
                    </a:fld>
                    <a:r>
                      <a:rPr lang="en-US" sz="1200" baseline="0"/>
                      <a:t>
</a:t>
                    </a:r>
                    <a:fld id="{EEB6269B-8C0B-4065-9322-2AD159FB149C}" type="PERCENTAGE">
                      <a:rPr lang="en-US" sz="1200" baseline="0"/>
                      <a:pPr/>
                      <a:t>[PERCENTAGE]</a:t>
                    </a:fld>
                    <a:endParaRPr lang="en-US" sz="1200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D80-47AA-9FD1-02C4C5AE497C}"/>
                </c:ext>
              </c:extLst>
            </c:dLbl>
            <c:dLbl>
              <c:idx val="3"/>
              <c:layout>
                <c:manualLayout>
                  <c:x val="7.1672624580009905E-2"/>
                  <c:y val="-0.17966458379518216"/>
                </c:manualLayout>
              </c:layout>
              <c:tx>
                <c:rich>
                  <a:bodyPr/>
                  <a:lstStyle/>
                  <a:p>
                    <a:fld id="{8F6FEF53-E1D8-4C6C-9297-98E1462E40BA}" type="CATEGORYNAME">
                      <a:rPr lang="en-US" sz="1200"/>
                      <a:pPr/>
                      <a:t>[CATEGORY NAME]</a:t>
                    </a:fld>
                    <a:r>
                      <a:rPr lang="en-US" sz="1200" baseline="0"/>
                      <a:t>
</a:t>
                    </a:r>
                    <a:fld id="{4D68D83E-D407-4F14-8460-594E986B6DAC}" type="PERCENTAGE">
                      <a:rPr lang="en-US" sz="1200" baseline="0"/>
                      <a:pPr/>
                      <a:t>[PERCENTAGE]</a:t>
                    </a:fld>
                    <a:endParaRPr lang="en-US" sz="1200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D80-47AA-9FD1-02C4C5AE497C}"/>
                </c:ext>
              </c:extLst>
            </c:dLbl>
            <c:dLbl>
              <c:idx val="4"/>
              <c:layout>
                <c:manualLayout>
                  <c:x val="9.4368480166855936E-2"/>
                  <c:y val="8.7418445027360889E-2"/>
                </c:manualLayout>
              </c:layout>
              <c:tx>
                <c:rich>
                  <a:bodyPr/>
                  <a:lstStyle/>
                  <a:p>
                    <a:fld id="{D62D2368-57BE-4B68-B150-9F37926D29CB}" type="CATEGORYNAME">
                      <a:rPr lang="en-US" sz="1200"/>
                      <a:pPr/>
                      <a:t>[CATEGORY NAME]</a:t>
                    </a:fld>
                    <a:r>
                      <a:rPr lang="en-US" sz="1200" baseline="0"/>
                      <a:t>
</a:t>
                    </a:r>
                    <a:fld id="{0942D59C-6F76-439F-A757-184A354D8DD7}" type="PERCENTAGE">
                      <a:rPr lang="en-US" sz="1200" baseline="0"/>
                      <a:pPr/>
                      <a:t>[PERCENTAGE]</a:t>
                    </a:fld>
                    <a:endParaRPr lang="en-US" sz="1200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D80-47AA-9FD1-02C4C5AE49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visualizations!$A$9:$A$14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Procurement</c:v>
                </c:pt>
                <c:pt idx="3">
                  <c:v>Sales</c:v>
                </c:pt>
                <c:pt idx="4">
                  <c:v>Website</c:v>
                </c:pt>
              </c:strCache>
            </c:strRef>
          </c:cat>
          <c:val>
            <c:numRef>
              <c:f>visualizations!$B$9:$B$14</c:f>
              <c:numCache>
                <c:formatCode>General</c:formatCode>
                <c:ptCount val="5"/>
                <c:pt idx="0">
                  <c:v>17</c:v>
                </c:pt>
                <c:pt idx="1">
                  <c:v>4</c:v>
                </c:pt>
                <c:pt idx="2">
                  <c:v>27</c:v>
                </c:pt>
                <c:pt idx="3">
                  <c:v>14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0-47AA-9FD1-02C4C5AE497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[Task1.xlsx]visualizations!PivotTable11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>
                    <a:lumMod val="65000"/>
                    <a:lumOff val="35000"/>
                  </a:schemeClr>
                </a:solidFill>
                <a:latin typeface="Bahnschrift SemiBold" panose="020B0502040204020203" pitchFamily="34" charset="0"/>
              </a:rPr>
              <a:t>Avg rating by Dept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 w="12700"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12700"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/>
          </c:spPr>
          <c:invertIfNegative val="0"/>
          <c:cat>
            <c:strRef>
              <c:f>visualizations!$A$18:$A$23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Procurement</c:v>
                </c:pt>
                <c:pt idx="3">
                  <c:v>Sales</c:v>
                </c:pt>
                <c:pt idx="4">
                  <c:v>Website</c:v>
                </c:pt>
              </c:strCache>
            </c:strRef>
          </c:cat>
          <c:val>
            <c:numRef>
              <c:f>visualizations!$B$18:$B$23</c:f>
              <c:numCache>
                <c:formatCode>0.0000</c:formatCode>
                <c:ptCount val="5"/>
                <c:pt idx="0">
                  <c:v>1.9411764705882353</c:v>
                </c:pt>
                <c:pt idx="1">
                  <c:v>2</c:v>
                </c:pt>
                <c:pt idx="2">
                  <c:v>2.1923076923076925</c:v>
                </c:pt>
                <c:pt idx="3">
                  <c:v>2.1538461538461537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26-4E59-A387-4D5A2438B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310856527"/>
        <c:axId val="1310862767"/>
      </c:barChart>
      <c:catAx>
        <c:axId val="131085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862767"/>
        <c:crosses val="autoZero"/>
        <c:auto val="1"/>
        <c:lblAlgn val="ctr"/>
        <c:lblOffset val="100"/>
        <c:noMultiLvlLbl val="0"/>
      </c:catAx>
      <c:valAx>
        <c:axId val="131086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856527"/>
        <c:crosses val="autoZero"/>
        <c:crossBetween val="between"/>
        <c:majorUnit val="0.1"/>
        <c:minorUnit val="0.1"/>
      </c:valAx>
      <c:spPr>
        <a:solidFill>
          <a:schemeClr val="accent4">
            <a:lumMod val="20000"/>
            <a:lumOff val="80000"/>
            <a:alpha val="84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[Task1.xlsx]visualizations!PivotTable12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  <a:latin typeface="Bahnschrift SemiBold" panose="020B0502040204020203" pitchFamily="34" charset="0"/>
              </a:rPr>
              <a:t>Employee count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visualizations!$B$26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visualizations!$A$27:$A$31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visualizations!$B$27:$B$31</c:f>
              <c:numCache>
                <c:formatCode>General</c:formatCode>
                <c:ptCount val="4"/>
                <c:pt idx="0">
                  <c:v>15</c:v>
                </c:pt>
                <c:pt idx="1">
                  <c:v>39</c:v>
                </c:pt>
                <c:pt idx="2">
                  <c:v>32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61-4CDF-9ADD-A5F3707C5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4642527"/>
        <c:axId val="984643007"/>
      </c:lineChart>
      <c:catAx>
        <c:axId val="98464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643007"/>
        <c:crosses val="autoZero"/>
        <c:auto val="1"/>
        <c:lblAlgn val="ctr"/>
        <c:lblOffset val="100"/>
        <c:noMultiLvlLbl val="0"/>
      </c:catAx>
      <c:valAx>
        <c:axId val="98464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64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Salary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chemeClr val="tx1"/>
              </a:solidFill>
              <a:latin typeface="Bahnschrift SemiBold" panose="020B0502040204020203" pitchFamily="34" charset="0"/>
            </a:rPr>
            <a:t>Salary Distribution</a:t>
          </a:r>
        </a:p>
      </cx:txPr>
    </cx:title>
    <cx:plotArea>
      <cx:plotAreaRegion>
        <cx:plotSurface>
          <cx:spPr>
            <a:noFill/>
          </cx:spPr>
        </cx:plotSurface>
        <cx:series layoutId="clusteredColumn" uniqueId="{A6C43C7D-8728-45FE-A8F1-22804A3406AF}">
          <cx:spPr>
            <a:solidFill>
              <a:srgbClr val="E7B6AF"/>
            </a:solidFill>
            <a:ln w="19050">
              <a:solidFill>
                <a:schemeClr val="accent1"/>
              </a:solidFill>
              <a:prstDash val="solid"/>
            </a:ln>
            <a:effectLst>
              <a:glow>
                <a:schemeClr val="accent1">
                  <a:alpha val="40000"/>
                </a:schemeClr>
              </a:glow>
              <a:outerShdw blurRad="50800" dist="50800" dir="5400000" sx="1000" sy="1000" algn="ctr" rotWithShape="0">
                <a:srgbClr val="000000">
                  <a:alpha val="43137"/>
                </a:srgbClr>
              </a:outerShdw>
              <a:softEdge rad="0"/>
            </a:effectLst>
          </cx:spPr>
          <cx:dataLabels pos="inEnd">
            <cx:visibility seriesName="0" categoryName="0" value="0"/>
            <cx:separator>, </cx:separator>
          </cx:dataLabels>
          <cx:dataId val="0"/>
          <cx:layoutPr>
            <cx:binning intervalClosed="r" underflow="40000" overflow="200000">
              <cx:binSize val="10000"/>
            </cx:binning>
          </cx:layoutPr>
        </cx:series>
      </cx:plotAreaRegion>
      <cx:axis id="0">
        <cx:catScaling gapWidth="0"/>
        <cx:tickLabels/>
        <cx:numFmt formatCode="_($* #,##0_);_($* (#,##0);_($* &quot;-&quot;_);_(@_)" sourceLinked="0"/>
      </cx:axis>
      <cx:axis id="1">
        <cx:valScaling/>
        <cx:majorGridlines/>
        <cx:tickLabels/>
      </cx:axis>
    </cx:plotArea>
  </cx:chart>
  <cx:spPr>
    <a:solidFill>
      <a:schemeClr val="bg2">
        <a:lumMod val="90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160209</xdr:colOff>
      <xdr:row>21</xdr:row>
      <xdr:rowOff>3761</xdr:rowOff>
    </xdr:from>
    <xdr:to>
      <xdr:col>27</xdr:col>
      <xdr:colOff>177484</xdr:colOff>
      <xdr:row>44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BCBD970-560C-4E9F-9CF1-87A3C4D82A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29906" y="5276185"/>
              <a:ext cx="8637881" cy="54995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10288</xdr:colOff>
      <xdr:row>1</xdr:row>
      <xdr:rowOff>25410</xdr:rowOff>
    </xdr:from>
    <xdr:to>
      <xdr:col>11</xdr:col>
      <xdr:colOff>564446</xdr:colOff>
      <xdr:row>20</xdr:row>
      <xdr:rowOff>39688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6A2932-02D5-6692-E328-0BA05A60F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117155</xdr:colOff>
      <xdr:row>0</xdr:row>
      <xdr:rowOff>137434</xdr:rowOff>
    </xdr:from>
    <xdr:to>
      <xdr:col>26</xdr:col>
      <xdr:colOff>592321</xdr:colOff>
      <xdr:row>19</xdr:row>
      <xdr:rowOff>256268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259CB4-FBD6-3AB7-C8C5-870DAAB75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1243135</xdr:colOff>
      <xdr:row>20</xdr:row>
      <xdr:rowOff>237211</xdr:rowOff>
    </xdr:from>
    <xdr:to>
      <xdr:col>11</xdr:col>
      <xdr:colOff>664613</xdr:colOff>
      <xdr:row>42</xdr:row>
      <xdr:rowOff>139212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395A7F-1652-68A7-3BFE-2C68C2515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ena jasra" refreshedDate="46035.819815740739" createdVersion="8" refreshedVersion="8" minRefreshableVersion="3" recordCount="87" xr:uid="{144BA69F-B064-4A28-B77B-B0A9659B8586}">
  <cacheSource type="worksheet">
    <worksheetSource name="EmployeeTable"/>
  </cacheSource>
  <cacheFields count="12">
    <cacheField name="Name" numFmtId="0">
      <sharedItems/>
    </cacheField>
    <cacheField name="Gender" numFmtId="0">
      <sharedItems count="2">
        <s v="Female"/>
        <s v="Male"/>
      </sharedItems>
    </cacheField>
    <cacheField name="Department" numFmtId="0">
      <sharedItems count="5">
        <s v="Finance"/>
        <s v="HR"/>
        <s v="Procurement"/>
        <s v="Sales"/>
        <s v="Website"/>
      </sharedItems>
    </cacheField>
    <cacheField name="Age" numFmtId="0">
      <sharedItems containsSemiMixedTypes="0" containsString="0" containsNumber="1" containsInteger="1" minValue="19" maxValue="46"/>
    </cacheField>
    <cacheField name="Date Joined" numFmtId="14">
      <sharedItems containsSemiMixedTypes="0" containsNonDate="0" containsDate="1" containsString="0" minDate="2020-07-07T00:00:00" maxDate="2023-04-30T00:00:00" count="82">
        <d v="2022-09-05T00:00:00"/>
        <d v="2022-06-19T00:00:00"/>
        <d v="2022-04-02T00:00:00"/>
        <d v="2022-02-20T00:00:00"/>
        <d v="2022-02-14T00:00:00"/>
        <d v="2022-01-06T00:00:00"/>
        <d v="2021-09-20T00:00:00"/>
        <d v="2021-09-06T00:00:00"/>
        <d v="2021-08-28T00:00:00"/>
        <d v="2021-07-12T00:00:00"/>
        <d v="2021-05-17T00:00:00"/>
        <d v="2021-05-01T00:00:00"/>
        <d v="2021-02-16T00:00:00"/>
        <d v="2021-02-09T00:00:00"/>
        <d v="2020-12-20T00:00:00"/>
        <d v="2020-08-24T00:00:00"/>
        <d v="2020-07-29T00:00:00"/>
        <d v="2021-09-12T00:00:00"/>
        <d v="2021-07-23T00:00:00"/>
        <d v="2021-02-15T00:00:00"/>
        <d v="2020-10-18T00:00:00"/>
        <d v="2022-10-27T00:00:00"/>
        <d v="2022-10-16T00:00:00"/>
        <d v="2022-08-06T00:00:00"/>
        <d v="2022-07-20T00:00:00"/>
        <d v="2022-07-16T00:00:00"/>
        <d v="2022-07-02T00:00:00"/>
        <d v="2022-06-15T00:00:00"/>
        <d v="2022-06-14T00:00:00"/>
        <d v="2022-06-12T00:00:00"/>
        <d v="2022-05-20T00:00:00"/>
        <d v="2022-04-15T00:00:00"/>
        <d v="2022-03-29T00:00:00"/>
        <d v="2022-03-10T00:00:00"/>
        <d v="2022-02-19T00:00:00"/>
        <d v="2022-02-17T00:00:00"/>
        <d v="2021-11-29T00:00:00"/>
        <d v="2021-10-17T00:00:00"/>
        <d v="2021-09-11T00:00:00"/>
        <d v="2021-09-01T00:00:00"/>
        <d v="2021-08-03T00:00:00"/>
        <d v="2021-03-22T00:00:00"/>
        <d v="2021-03-08T00:00:00"/>
        <d v="2021-01-29T00:00:00"/>
        <d v="2020-11-29T00:00:00"/>
        <d v="2020-09-30T00:00:00"/>
        <d v="2020-09-11T00:00:00"/>
        <d v="2022-09-16T00:00:00"/>
        <d v="2022-06-09T00:00:00"/>
        <d v="2022-02-28T00:00:00"/>
        <d v="2021-12-07T00:00:00"/>
        <d v="2021-10-25T00:00:00"/>
        <d v="2021-09-26T00:00:00"/>
        <d v="2021-09-07T00:00:00"/>
        <d v="2021-07-08T00:00:00"/>
        <d v="2021-07-06T00:00:00"/>
        <d v="2021-06-30T00:00:00"/>
        <d v="2021-06-10T00:00:00"/>
        <d v="2021-05-13T00:00:00"/>
        <d v="2021-01-09T00:00:00"/>
        <d v="2020-10-30T00:00:00"/>
        <d v="2023-04-29T00:00:00"/>
        <d v="2022-05-13T00:00:00"/>
        <d v="2022-05-05T00:00:00"/>
        <d v="2022-04-27T00:00:00"/>
        <d v="2022-04-12T00:00:00"/>
        <d v="2021-11-11T00:00:00"/>
        <d v="2021-11-09T00:00:00"/>
        <d v="2021-07-04T00:00:00"/>
        <d v="2021-06-27T00:00:00"/>
        <d v="2021-06-07T00:00:00"/>
        <d v="2021-05-22T00:00:00"/>
        <d v="2021-05-21T00:00:00"/>
        <d v="2021-04-26T00:00:00"/>
        <d v="2021-03-18T00:00:00"/>
        <d v="2020-12-25T00:00:00"/>
        <d v="2020-12-18T00:00:00"/>
        <d v="2020-12-15T00:00:00"/>
        <d v="2020-11-13T00:00:00"/>
        <d v="2020-11-10T00:00:00"/>
        <d v="2020-07-11T00:00:00"/>
        <d v="2020-07-07T00:00:00"/>
      </sharedItems>
      <fieldGroup par="11"/>
    </cacheField>
    <cacheField name="Salary" numFmtId="44">
      <sharedItems containsSemiMixedTypes="0" containsString="0" containsNumber="1" containsInteger="1" minValue="33920" maxValue="119110" count="86">
        <n v="86570"/>
        <n v="70270"/>
        <n v="58940"/>
        <n v="60130"/>
        <n v="96800"/>
        <n v="48980"/>
        <n v="85000"/>
        <n v="92450"/>
        <n v="52610"/>
        <n v="67910"/>
        <n v="71380"/>
        <n v="65920"/>
        <n v="59430"/>
        <n v="91650"/>
        <n v="75970"/>
        <n v="65360"/>
        <n v="48170"/>
        <n v="118100"/>
        <n v="45510"/>
        <n v="75880"/>
        <n v="119110"/>
        <n v="112570"/>
        <n v="114180"/>
        <n v="75000"/>
        <n v="57090"/>
        <n v="70610"/>
        <n v="79570"/>
        <n v="40400"/>
        <n v="109190"/>
        <n v="103550"/>
        <n v="48530"/>
        <n v="67950"/>
        <n v="60570"/>
        <n v="104120"/>
        <n v="99970"/>
        <n v="41570"/>
        <n v="113280"/>
        <n v="78390"/>
        <n v="104770"/>
        <n v="76900"/>
        <n v="106460"/>
        <n v="53540"/>
        <n v="58960"/>
        <n v="99750"/>
        <n v="47360"/>
        <n v="115920"/>
        <n v="37920"/>
        <n v="114890"/>
        <n v="43510"/>
        <n v="49630"/>
        <n v="36040"/>
        <n v="68900"/>
        <n v="78540"/>
        <n v="112780"/>
        <n v="74550"/>
        <n v="65700"/>
        <n v="109160"/>
        <n v="53240"/>
        <n v="56870"/>
        <n v="92700"/>
        <n v="54970"/>
        <n v="114870"/>
        <n v="69710"/>
        <n v="69070"/>
        <n v="80700"/>
        <n v="83750"/>
        <n v="100420"/>
        <n v="33920"/>
        <n v="58100"/>
        <n v="48950"/>
        <n v="53870"/>
        <n v="107700"/>
        <n v="104410"/>
        <n v="75480"/>
        <n v="43840"/>
        <n v="88050"/>
        <n v="87620"/>
        <n v="75280"/>
        <n v="69120"/>
        <n v="96140"/>
        <n v="112650"/>
        <n v="112110"/>
        <n v="62780"/>
        <n v="41980"/>
        <n v="34980"/>
        <n v="118840"/>
      </sharedItems>
    </cacheField>
    <cacheField name="Rating" numFmtId="0">
      <sharedItems count="5">
        <s v="Average"/>
        <s v="Poor"/>
        <s v="Good"/>
        <s v="Exceptional"/>
        <s v="Very poor"/>
      </sharedItems>
    </cacheField>
    <cacheField name="Promotion" numFmtId="0">
      <sharedItems/>
    </cacheField>
    <cacheField name="Ratings Sccore" numFmtId="0">
      <sharedItems containsMixedTypes="1" containsNumber="1" containsInteger="1" minValue="1" maxValue="4" count="5">
        <n v="2"/>
        <n v="1"/>
        <n v="3"/>
        <n v="4"/>
        <s v=""/>
      </sharedItems>
    </cacheField>
    <cacheField name="Months (Date Joined)" numFmtId="0" databaseField="0">
      <fieldGroup base="4">
        <rangePr groupBy="months" startDate="2020-07-07T00:00:00" endDate="2023-04-30T00:00:00"/>
        <groupItems count="14">
          <s v="&lt;7/7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30/2023"/>
        </groupItems>
      </fieldGroup>
    </cacheField>
    <cacheField name="Quarters (Date Joined)" numFmtId="0" databaseField="0">
      <fieldGroup base="4">
        <rangePr groupBy="quarters" startDate="2020-07-07T00:00:00" endDate="2023-04-30T00:00:00"/>
        <groupItems count="6">
          <s v="&lt;7/7/2020"/>
          <s v="Qtr1"/>
          <s v="Qtr2"/>
          <s v="Qtr3"/>
          <s v="Qtr4"/>
          <s v="&gt;4/30/2023"/>
        </groupItems>
      </fieldGroup>
    </cacheField>
    <cacheField name="Years (Date Joined)" numFmtId="0" databaseField="0">
      <fieldGroup base="4">
        <rangePr groupBy="years" startDate="2020-07-07T00:00:00" endDate="2023-04-30T00:00:00"/>
        <groupItems count="6">
          <s v="&lt;7/7/2020"/>
          <s v="2020"/>
          <s v="2021"/>
          <s v="2022"/>
          <s v="2023"/>
          <s v="&gt;4/30/2023"/>
        </groupItems>
      </fieldGroup>
    </cacheField>
  </cacheFields>
  <extLst>
    <ext xmlns:x14="http://schemas.microsoft.com/office/spreadsheetml/2009/9/main" uri="{725AE2AE-9491-48be-B2B4-4EB974FC3084}">
      <x14:pivotCacheDefinition pivotCacheId="7955644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Sibyl Dunkirk"/>
    <x v="0"/>
    <x v="0"/>
    <n v="33"/>
    <x v="0"/>
    <x v="0"/>
    <x v="0"/>
    <s v="Not Eligible"/>
    <x v="0"/>
  </r>
  <r>
    <s v="Shayne Stegel"/>
    <x v="1"/>
    <x v="0"/>
    <n v="42"/>
    <x v="1"/>
    <x v="1"/>
    <x v="1"/>
    <s v="Not Eligible"/>
    <x v="1"/>
  </r>
  <r>
    <s v="Oby Sorrel"/>
    <x v="0"/>
    <x v="0"/>
    <n v="34"/>
    <x v="2"/>
    <x v="2"/>
    <x v="0"/>
    <s v="Not Eligible"/>
    <x v="0"/>
  </r>
  <r>
    <s v="Jehu Rudeforth"/>
    <x v="0"/>
    <x v="0"/>
    <n v="34"/>
    <x v="3"/>
    <x v="3"/>
    <x v="0"/>
    <s v="Not Eligible"/>
    <x v="0"/>
  </r>
  <r>
    <s v="Constantino Espley"/>
    <x v="1"/>
    <x v="0"/>
    <n v="30"/>
    <x v="4"/>
    <x v="4"/>
    <x v="0"/>
    <s v="Not Eligible"/>
    <x v="0"/>
  </r>
  <r>
    <s v="Esmaria Denecamp"/>
    <x v="1"/>
    <x v="0"/>
    <n v="27"/>
    <x v="5"/>
    <x v="5"/>
    <x v="0"/>
    <s v="Not Eligible"/>
    <x v="0"/>
  </r>
  <r>
    <s v="Karlen McCaffrey"/>
    <x v="0"/>
    <x v="0"/>
    <n v="34"/>
    <x v="6"/>
    <x v="6"/>
    <x v="0"/>
    <s v="Not Eligible"/>
    <x v="0"/>
  </r>
  <r>
    <s v="Leilah Yesinin"/>
    <x v="0"/>
    <x v="0"/>
    <n v="34"/>
    <x v="7"/>
    <x v="7"/>
    <x v="0"/>
    <s v="Not Eligible"/>
    <x v="0"/>
  </r>
  <r>
    <s v="Kaye Crocroft"/>
    <x v="1"/>
    <x v="0"/>
    <n v="24"/>
    <x v="8"/>
    <x v="8"/>
    <x v="1"/>
    <s v="Not Eligible"/>
    <x v="1"/>
  </r>
  <r>
    <s v="Husein Augar"/>
    <x v="0"/>
    <x v="0"/>
    <n v="30"/>
    <x v="9"/>
    <x v="9"/>
    <x v="1"/>
    <s v="Not Eligible"/>
    <x v="1"/>
  </r>
  <r>
    <s v="Bennie Pepis"/>
    <x v="1"/>
    <x v="0"/>
    <n v="36"/>
    <x v="10"/>
    <x v="10"/>
    <x v="0"/>
    <s v="Not Eligible"/>
    <x v="0"/>
  </r>
  <r>
    <s v="Marney O'Breen"/>
    <x v="0"/>
    <x v="0"/>
    <n v="21"/>
    <x v="11"/>
    <x v="11"/>
    <x v="0"/>
    <s v="Not Eligible"/>
    <x v="0"/>
  </r>
  <r>
    <s v="My Hanscome"/>
    <x v="1"/>
    <x v="0"/>
    <n v="33"/>
    <x v="12"/>
    <x v="12"/>
    <x v="0"/>
    <s v="Not Eligible"/>
    <x v="0"/>
  </r>
  <r>
    <s v="Enoch Dowrey"/>
    <x v="1"/>
    <x v="0"/>
    <n v="27"/>
    <x v="13"/>
    <x v="13"/>
    <x v="2"/>
    <s v="Eligible"/>
    <x v="2"/>
  </r>
  <r>
    <s v="Beverie Moffet"/>
    <x v="0"/>
    <x v="0"/>
    <n v="28"/>
    <x v="14"/>
    <x v="14"/>
    <x v="0"/>
    <s v="Not Eligible"/>
    <x v="0"/>
  </r>
  <r>
    <s v="Teressa Udden"/>
    <x v="0"/>
    <x v="0"/>
    <n v="33"/>
    <x v="15"/>
    <x v="15"/>
    <x v="0"/>
    <s v="Not Eligible"/>
    <x v="0"/>
  </r>
  <r>
    <s v="Jan Morforth"/>
    <x v="1"/>
    <x v="0"/>
    <n v="28"/>
    <x v="16"/>
    <x v="16"/>
    <x v="2"/>
    <s v="Not Eligible"/>
    <x v="2"/>
  </r>
  <r>
    <s v="Valentia Etteridge"/>
    <x v="0"/>
    <x v="1"/>
    <n v="37"/>
    <x v="17"/>
    <x v="17"/>
    <x v="0"/>
    <s v="Not Eligible"/>
    <x v="0"/>
  </r>
  <r>
    <s v="Florinda Crace"/>
    <x v="0"/>
    <x v="1"/>
    <n v="32"/>
    <x v="18"/>
    <x v="18"/>
    <x v="0"/>
    <s v="Not Eligible"/>
    <x v="0"/>
  </r>
  <r>
    <s v="Shari McNee"/>
    <x v="1"/>
    <x v="1"/>
    <n v="21"/>
    <x v="19"/>
    <x v="19"/>
    <x v="0"/>
    <s v="Not Eligible"/>
    <x v="0"/>
  </r>
  <r>
    <s v="Ewart Laphorn"/>
    <x v="0"/>
    <x v="1"/>
    <n v="27"/>
    <x v="20"/>
    <x v="20"/>
    <x v="0"/>
    <s v="Not Eligible"/>
    <x v="0"/>
  </r>
  <r>
    <s v="Halimeda Kuscha"/>
    <x v="0"/>
    <x v="2"/>
    <n v="30"/>
    <x v="21"/>
    <x v="21"/>
    <x v="0"/>
    <s v="Not Eligible"/>
    <x v="0"/>
  </r>
  <r>
    <s v="Hogan Iles"/>
    <x v="0"/>
    <x v="2"/>
    <n v="30"/>
    <x v="22"/>
    <x v="22"/>
    <x v="0"/>
    <s v="Not Eligible"/>
    <x v="0"/>
  </r>
  <r>
    <s v="Barr Faughny"/>
    <x v="0"/>
    <x v="2"/>
    <n v="42"/>
    <x v="23"/>
    <x v="23"/>
    <x v="3"/>
    <s v="Eligible"/>
    <x v="3"/>
  </r>
  <r>
    <s v="Kelci Walkden"/>
    <x v="1"/>
    <x v="2"/>
    <n v="21"/>
    <x v="24"/>
    <x v="24"/>
    <x v="0"/>
    <s v="Not Eligible"/>
    <x v="0"/>
  </r>
  <r>
    <s v="Ambros Murthwaite"/>
    <x v="1"/>
    <x v="2"/>
    <n v="46"/>
    <x v="25"/>
    <x v="25"/>
    <x v="0"/>
    <s v="Not Eligible"/>
    <x v="0"/>
  </r>
  <r>
    <s v="Kellsie Waby"/>
    <x v="1"/>
    <x v="2"/>
    <n v="20"/>
    <x v="26"/>
    <x v="26"/>
    <x v="0"/>
    <s v="Not Eligible"/>
    <x v="0"/>
  </r>
  <r>
    <s v="Archibald Filliskirk"/>
    <x v="1"/>
    <x v="2"/>
    <n v="35"/>
    <x v="27"/>
    <x v="27"/>
    <x v="0"/>
    <s v="Not Eligible"/>
    <x v="0"/>
  </r>
  <r>
    <s v="Madelene Upcott"/>
    <x v="1"/>
    <x v="2"/>
    <n v="25"/>
    <x v="28"/>
    <x v="28"/>
    <x v="2"/>
    <s v="Eligible"/>
    <x v="2"/>
  </r>
  <r>
    <s v="Dyna Doucette"/>
    <x v="1"/>
    <x v="2"/>
    <n v="31"/>
    <x v="29"/>
    <x v="29"/>
    <x v="0"/>
    <s v="Not Eligible"/>
    <x v="0"/>
  </r>
  <r>
    <s v="Erin Androsik"/>
    <x v="1"/>
    <x v="2"/>
    <n v="33"/>
    <x v="30"/>
    <x v="30"/>
    <x v="2"/>
    <s v="Not Eligible"/>
    <x v="2"/>
  </r>
  <r>
    <s v="Ebonee Roxburgh"/>
    <x v="1"/>
    <x v="2"/>
    <n v="30"/>
    <x v="30"/>
    <x v="31"/>
    <x v="0"/>
    <s v="Not Eligible"/>
    <x v="0"/>
  </r>
  <r>
    <s v="Mallorie Waber"/>
    <x v="1"/>
    <x v="2"/>
    <n v="30"/>
    <x v="31"/>
    <x v="32"/>
    <x v="0"/>
    <s v="Not Eligible"/>
    <x v="0"/>
  </r>
  <r>
    <s v="Cherlyn Barter"/>
    <x v="0"/>
    <x v="2"/>
    <n v="28"/>
    <x v="32"/>
    <x v="33"/>
    <x v="0"/>
    <s v="Not Eligible"/>
    <x v="0"/>
  </r>
  <r>
    <s v="Bernie Gorges"/>
    <x v="0"/>
    <x v="2"/>
    <n v="28"/>
    <x v="33"/>
    <x v="34"/>
    <x v="0"/>
    <s v="Not Eligible"/>
    <x v="0"/>
  </r>
  <r>
    <s v="Crissie Cordel"/>
    <x v="0"/>
    <x v="2"/>
    <n v="32"/>
    <x v="34"/>
    <x v="35"/>
    <x v="0"/>
    <s v="Not Eligible"/>
    <x v="0"/>
  </r>
  <r>
    <s v="Mahalia Larcher"/>
    <x v="1"/>
    <x v="2"/>
    <n v="27"/>
    <x v="35"/>
    <x v="36"/>
    <x v="4"/>
    <s v="Not Eligible"/>
    <x v="4"/>
  </r>
  <r>
    <s v="Allene Gobbet"/>
    <x v="0"/>
    <x v="2"/>
    <n v="36"/>
    <x v="36"/>
    <x v="37"/>
    <x v="0"/>
    <s v="Not Eligible"/>
    <x v="0"/>
  </r>
  <r>
    <s v="Janene Hairsine"/>
    <x v="0"/>
    <x v="2"/>
    <n v="28"/>
    <x v="37"/>
    <x v="38"/>
    <x v="0"/>
    <s v="Not Eligible"/>
    <x v="0"/>
  </r>
  <r>
    <s v="Virginia McConville"/>
    <x v="0"/>
    <x v="2"/>
    <n v="22"/>
    <x v="38"/>
    <x v="39"/>
    <x v="2"/>
    <s v="Eligible"/>
    <x v="2"/>
  </r>
  <r>
    <s v="Kissiah Maydway"/>
    <x v="1"/>
    <x v="2"/>
    <n v="23"/>
    <x v="39"/>
    <x v="40"/>
    <x v="0"/>
    <s v="Not Eligible"/>
    <x v="0"/>
  </r>
  <r>
    <s v="Zach Polon"/>
    <x v="1"/>
    <x v="2"/>
    <n v="26"/>
    <x v="40"/>
    <x v="41"/>
    <x v="0"/>
    <s v="Not Eligible"/>
    <x v="0"/>
  </r>
  <r>
    <s v="Lilyan Klimpt"/>
    <x v="1"/>
    <x v="2"/>
    <n v="19"/>
    <x v="41"/>
    <x v="42"/>
    <x v="0"/>
    <s v="Not Eligible"/>
    <x v="0"/>
  </r>
  <r>
    <s v="Simon Kembery"/>
    <x v="1"/>
    <x v="2"/>
    <n v="40"/>
    <x v="42"/>
    <x v="43"/>
    <x v="0"/>
    <s v="Not Eligible"/>
    <x v="0"/>
  </r>
  <r>
    <s v="Dell Molloy"/>
    <x v="1"/>
    <x v="2"/>
    <n v="26"/>
    <x v="43"/>
    <x v="44"/>
    <x v="0"/>
    <s v="Not Eligible"/>
    <x v="0"/>
  </r>
  <r>
    <s v="Roddy Speechley"/>
    <x v="1"/>
    <x v="2"/>
    <n v="33"/>
    <x v="44"/>
    <x v="45"/>
    <x v="0"/>
    <s v="Not Eligible"/>
    <x v="0"/>
  </r>
  <r>
    <s v="Orton Livick"/>
    <x v="1"/>
    <x v="2"/>
    <n v="21"/>
    <x v="45"/>
    <x v="46"/>
    <x v="0"/>
    <s v="Not Eligible"/>
    <x v="0"/>
  </r>
  <r>
    <s v="Tracy Renad"/>
    <x v="0"/>
    <x v="2"/>
    <n v="36"/>
    <x v="46"/>
    <x v="47"/>
    <x v="0"/>
    <s v="Not Eligible"/>
    <x v="0"/>
  </r>
  <r>
    <s v="Drusy MacCombe"/>
    <x v="1"/>
    <x v="3"/>
    <n v="28"/>
    <x v="47"/>
    <x v="48"/>
    <x v="4"/>
    <s v="Not Eligible"/>
    <x v="4"/>
  </r>
  <r>
    <s v="Violante Courtonne"/>
    <x v="0"/>
    <x v="3"/>
    <n v="34"/>
    <x v="48"/>
    <x v="49"/>
    <x v="1"/>
    <s v="Not Eligible"/>
    <x v="1"/>
  </r>
  <r>
    <s v="Bili Sizey"/>
    <x v="1"/>
    <x v="3"/>
    <n v="43"/>
    <x v="49"/>
    <x v="50"/>
    <x v="0"/>
    <s v="Not Eligible"/>
    <x v="0"/>
  </r>
  <r>
    <s v="Hyacinthie Braybrooke"/>
    <x v="0"/>
    <x v="3"/>
    <n v="20"/>
    <x v="50"/>
    <x v="51"/>
    <x v="1"/>
    <s v="Not Eligible"/>
    <x v="1"/>
  </r>
  <r>
    <s v="Gray Seamon"/>
    <x v="0"/>
    <x v="3"/>
    <n v="36"/>
    <x v="51"/>
    <x v="52"/>
    <x v="0"/>
    <s v="Not Eligible"/>
    <x v="0"/>
  </r>
  <r>
    <s v="Hoyt D'Alesco"/>
    <x v="1"/>
    <x v="3"/>
    <n v="32"/>
    <x v="52"/>
    <x v="41"/>
    <x v="0"/>
    <s v="Not Eligible"/>
    <x v="0"/>
  </r>
  <r>
    <s v="Lindy Guillet"/>
    <x v="1"/>
    <x v="3"/>
    <n v="22"/>
    <x v="53"/>
    <x v="53"/>
    <x v="2"/>
    <s v="Eligible"/>
    <x v="2"/>
  </r>
  <r>
    <s v="Gigi Bohling"/>
    <x v="1"/>
    <x v="3"/>
    <n v="33"/>
    <x v="54"/>
    <x v="54"/>
    <x v="0"/>
    <s v="Not Eligible"/>
    <x v="0"/>
  </r>
  <r>
    <s v="Kath Bletsoe"/>
    <x v="1"/>
    <x v="3"/>
    <n v="25"/>
    <x v="55"/>
    <x v="55"/>
    <x v="0"/>
    <s v="Not Eligible"/>
    <x v="0"/>
  </r>
  <r>
    <s v="Rafaelita Blaksland"/>
    <x v="0"/>
    <x v="3"/>
    <n v="38"/>
    <x v="56"/>
    <x v="56"/>
    <x v="3"/>
    <s v="Eligible"/>
    <x v="3"/>
  </r>
  <r>
    <s v="Tatum Hush"/>
    <x v="0"/>
    <x v="3"/>
    <n v="28"/>
    <x v="57"/>
    <x v="57"/>
    <x v="0"/>
    <s v="Not Eligible"/>
    <x v="0"/>
  </r>
  <r>
    <s v="Oran Buxcy"/>
    <x v="0"/>
    <x v="3"/>
    <n v="38"/>
    <x v="58"/>
    <x v="58"/>
    <x v="2"/>
    <s v="Not Eligible"/>
    <x v="2"/>
  </r>
  <r>
    <s v="Hinda Label"/>
    <x v="0"/>
    <x v="3"/>
    <n v="25"/>
    <x v="59"/>
    <x v="59"/>
    <x v="0"/>
    <s v="Not Eligible"/>
    <x v="0"/>
  </r>
  <r>
    <s v="Alta Kaszper"/>
    <x v="1"/>
    <x v="3"/>
    <n v="27"/>
    <x v="60"/>
    <x v="60"/>
    <x v="0"/>
    <s v="Not Eligible"/>
    <x v="0"/>
  </r>
  <r>
    <s v="Wilone O'Kielt"/>
    <x v="0"/>
    <x v="4"/>
    <n v="43"/>
    <x v="61"/>
    <x v="61"/>
    <x v="0"/>
    <s v="Not Eligible"/>
    <x v="0"/>
  </r>
  <r>
    <s v="Myer McCory"/>
    <x v="1"/>
    <x v="4"/>
    <n v="30"/>
    <x v="22"/>
    <x v="62"/>
    <x v="0"/>
    <s v="Not Eligible"/>
    <x v="0"/>
  </r>
  <r>
    <s v="Murry Dryburgh"/>
    <x v="1"/>
    <x v="4"/>
    <n v="37"/>
    <x v="30"/>
    <x v="63"/>
    <x v="0"/>
    <s v="Not Eligible"/>
    <x v="0"/>
  </r>
  <r>
    <s v="Van Tuxwell"/>
    <x v="0"/>
    <x v="4"/>
    <n v="25"/>
    <x v="62"/>
    <x v="64"/>
    <x v="2"/>
    <s v="Eligible"/>
    <x v="2"/>
  </r>
  <r>
    <s v="Agnes Collicott"/>
    <x v="0"/>
    <x v="4"/>
    <n v="27"/>
    <x v="63"/>
    <x v="65"/>
    <x v="0"/>
    <s v="Not Eligible"/>
    <x v="0"/>
  </r>
  <r>
    <s v="Collin Jagson"/>
    <x v="1"/>
    <x v="4"/>
    <n v="24"/>
    <x v="63"/>
    <x v="66"/>
    <x v="0"/>
    <s v="Not Eligible"/>
    <x v="0"/>
  </r>
  <r>
    <s v="Gretchen Callow"/>
    <x v="0"/>
    <x v="4"/>
    <n v="21"/>
    <x v="64"/>
    <x v="67"/>
    <x v="0"/>
    <s v="Not Eligible"/>
    <x v="0"/>
  </r>
  <r>
    <s v="Brien Boise"/>
    <x v="0"/>
    <x v="4"/>
    <n v="31"/>
    <x v="65"/>
    <x v="68"/>
    <x v="0"/>
    <s v="Not Eligible"/>
    <x v="0"/>
  </r>
  <r>
    <s v="Gunar Cockshoot"/>
    <x v="1"/>
    <x v="4"/>
    <n v="31"/>
    <x v="66"/>
    <x v="69"/>
    <x v="0"/>
    <s v="Not Eligible"/>
    <x v="0"/>
  </r>
  <r>
    <s v="William Reeveley"/>
    <x v="1"/>
    <x v="4"/>
    <n v="33"/>
    <x v="67"/>
    <x v="70"/>
    <x v="0"/>
    <s v="Not Eligible"/>
    <x v="0"/>
  </r>
  <r>
    <s v="Kaine Padly"/>
    <x v="1"/>
    <x v="4"/>
    <n v="20"/>
    <x v="6"/>
    <x v="71"/>
    <x v="0"/>
    <s v="Not Eligible"/>
    <x v="0"/>
  </r>
  <r>
    <s v="Caro Chappel"/>
    <x v="0"/>
    <x v="4"/>
    <n v="40"/>
    <x v="68"/>
    <x v="72"/>
    <x v="0"/>
    <s v="Not Eligible"/>
    <x v="0"/>
  </r>
  <r>
    <s v="Camilla Castle"/>
    <x v="0"/>
    <x v="4"/>
    <n v="33"/>
    <x v="69"/>
    <x v="73"/>
    <x v="4"/>
    <s v="Not Eligible"/>
    <x v="4"/>
  </r>
  <r>
    <s v="Kassi Jonson"/>
    <x v="0"/>
    <x v="4"/>
    <n v="32"/>
    <x v="70"/>
    <x v="74"/>
    <x v="2"/>
    <s v="Not Eligible"/>
    <x v="2"/>
  </r>
  <r>
    <s v="Ches Bonnell"/>
    <x v="1"/>
    <x v="4"/>
    <n v="37"/>
    <x v="71"/>
    <x v="75"/>
    <x v="1"/>
    <s v="Not Eligible"/>
    <x v="1"/>
  </r>
  <r>
    <s v="Merrilee Plenty"/>
    <x v="0"/>
    <x v="4"/>
    <n v="40"/>
    <x v="72"/>
    <x v="76"/>
    <x v="0"/>
    <s v="Not Eligible"/>
    <x v="0"/>
  </r>
  <r>
    <s v="Elia Cockton"/>
    <x v="0"/>
    <x v="4"/>
    <n v="33"/>
    <x v="73"/>
    <x v="77"/>
    <x v="0"/>
    <s v="Not Eligible"/>
    <x v="0"/>
  </r>
  <r>
    <s v="Andria Kimpton"/>
    <x v="1"/>
    <x v="4"/>
    <n v="30"/>
    <x v="74"/>
    <x v="78"/>
    <x v="0"/>
    <s v="Not Eligible"/>
    <x v="0"/>
  </r>
  <r>
    <s v="Torrance Collier"/>
    <x v="0"/>
    <x v="4"/>
    <n v="33"/>
    <x v="75"/>
    <x v="79"/>
    <x v="0"/>
    <s v="Not Eligible"/>
    <x v="0"/>
  </r>
  <r>
    <s v="Mollie Hanway"/>
    <x v="1"/>
    <x v="4"/>
    <n v="20"/>
    <x v="76"/>
    <x v="80"/>
    <x v="0"/>
    <s v="Not Eligible"/>
    <x v="0"/>
  </r>
  <r>
    <s v="Bev Lashley"/>
    <x v="1"/>
    <x v="4"/>
    <n v="29"/>
    <x v="77"/>
    <x v="81"/>
    <x v="1"/>
    <s v="Not Eligible"/>
    <x v="1"/>
  </r>
  <r>
    <s v="Vic Radolf"/>
    <x v="0"/>
    <x v="4"/>
    <n v="24"/>
    <x v="78"/>
    <x v="82"/>
    <x v="0"/>
    <s v="Not Eligible"/>
    <x v="0"/>
  </r>
  <r>
    <s v="Dotty Strutley"/>
    <x v="0"/>
    <x v="4"/>
    <n v="31"/>
    <x v="79"/>
    <x v="83"/>
    <x v="0"/>
    <s v="Not Eligible"/>
    <x v="0"/>
  </r>
  <r>
    <s v="Niall Selesnick"/>
    <x v="0"/>
    <x v="4"/>
    <n v="29"/>
    <x v="80"/>
    <x v="84"/>
    <x v="0"/>
    <s v="Not Eligible"/>
    <x v="0"/>
  </r>
  <r>
    <s v="Tawnya Tickel"/>
    <x v="1"/>
    <x v="4"/>
    <n v="36"/>
    <x v="81"/>
    <x v="85"/>
    <x v="0"/>
    <s v="Not Eligibl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01B6B-E7E8-44E5-AE92-E147BD012436}" name="PivotTable1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6:B31" firstHeaderRow="1" firstDataRow="1" firstDataCol="1"/>
  <pivotFields count="12">
    <pivotField dataField="1" showAll="0"/>
    <pivotField showAll="0">
      <items count="3">
        <item x="0"/>
        <item x="1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numFmtId="14" showAll="0">
      <items count="83">
        <item x="81"/>
        <item x="80"/>
        <item x="16"/>
        <item x="15"/>
        <item x="46"/>
        <item x="45"/>
        <item x="20"/>
        <item x="60"/>
        <item x="79"/>
        <item x="78"/>
        <item x="44"/>
        <item x="77"/>
        <item x="76"/>
        <item x="14"/>
        <item x="75"/>
        <item x="59"/>
        <item x="43"/>
        <item x="13"/>
        <item x="19"/>
        <item x="12"/>
        <item x="42"/>
        <item x="74"/>
        <item x="41"/>
        <item x="73"/>
        <item x="11"/>
        <item x="58"/>
        <item x="10"/>
        <item x="72"/>
        <item x="71"/>
        <item x="70"/>
        <item x="57"/>
        <item x="69"/>
        <item x="56"/>
        <item x="68"/>
        <item x="55"/>
        <item x="54"/>
        <item x="9"/>
        <item x="18"/>
        <item x="40"/>
        <item x="8"/>
        <item x="39"/>
        <item x="7"/>
        <item x="53"/>
        <item x="38"/>
        <item x="17"/>
        <item x="6"/>
        <item x="52"/>
        <item x="37"/>
        <item x="51"/>
        <item x="67"/>
        <item x="66"/>
        <item x="36"/>
        <item x="50"/>
        <item x="5"/>
        <item x="4"/>
        <item x="35"/>
        <item x="34"/>
        <item x="3"/>
        <item x="49"/>
        <item x="33"/>
        <item x="32"/>
        <item x="2"/>
        <item x="65"/>
        <item x="31"/>
        <item x="64"/>
        <item x="63"/>
        <item x="62"/>
        <item x="30"/>
        <item x="48"/>
        <item x="29"/>
        <item x="28"/>
        <item x="27"/>
        <item x="1"/>
        <item x="26"/>
        <item x="25"/>
        <item x="24"/>
        <item x="23"/>
        <item x="0"/>
        <item x="47"/>
        <item x="22"/>
        <item x="21"/>
        <item x="61"/>
        <item t="default"/>
      </items>
    </pivotField>
    <pivotField numFmtId="44" showAll="0"/>
    <pivotField showAll="0">
      <items count="6">
        <item x="0"/>
        <item x="3"/>
        <item x="2"/>
        <item x="1"/>
        <item x="4"/>
        <item t="default"/>
      </items>
    </pivotField>
    <pivotField showAll="0"/>
    <pivotField showAll="0">
      <items count="6">
        <item x="1"/>
        <item x="0"/>
        <item x="2"/>
        <item x="3"/>
        <item x="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1"/>
    <field x="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Name" fld="0" subtotal="count" baseField="0" baseItem="0"/>
  </dataFields>
  <formats count="7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11" type="button" dataOnly="0" labelOnly="1" outline="0" axis="axisRow" fieldPosition="0"/>
    </format>
    <format dxfId="63">
      <pivotArea dataOnly="0" labelOnly="1" fieldPosition="0">
        <references count="1">
          <reference field="11" count="4">
            <x v="1"/>
            <x v="2"/>
            <x v="3"/>
            <x v="4"/>
          </reference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2">
          <reference field="9" count="6">
            <x v="7"/>
            <x v="8"/>
            <x v="9"/>
            <x v="10"/>
            <x v="11"/>
            <x v="12"/>
          </reference>
          <reference field="11" count="1" selected="0">
            <x v="1"/>
          </reference>
        </references>
      </pivotArea>
    </format>
    <format dxfId="60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35406-CFA1-4194-8ABA-024254264DDC}" name="PivotTable1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7:B23" firstHeaderRow="1" firstDataRow="1" firstDataCol="1"/>
  <pivotFields count="12">
    <pivotField showAll="0"/>
    <pivotField showAll="0">
      <items count="3">
        <item x="0"/>
        <item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14" showAll="0">
      <items count="83">
        <item x="81"/>
        <item x="80"/>
        <item x="16"/>
        <item x="15"/>
        <item x="46"/>
        <item x="45"/>
        <item x="20"/>
        <item x="60"/>
        <item x="79"/>
        <item x="78"/>
        <item x="44"/>
        <item x="77"/>
        <item x="76"/>
        <item x="14"/>
        <item x="75"/>
        <item x="59"/>
        <item x="43"/>
        <item x="13"/>
        <item x="19"/>
        <item x="12"/>
        <item x="42"/>
        <item x="74"/>
        <item x="41"/>
        <item x="73"/>
        <item x="11"/>
        <item x="58"/>
        <item x="10"/>
        <item x="72"/>
        <item x="71"/>
        <item x="70"/>
        <item x="57"/>
        <item x="69"/>
        <item x="56"/>
        <item x="68"/>
        <item x="55"/>
        <item x="54"/>
        <item x="9"/>
        <item x="18"/>
        <item x="40"/>
        <item x="8"/>
        <item x="39"/>
        <item x="7"/>
        <item x="53"/>
        <item x="38"/>
        <item x="17"/>
        <item x="6"/>
        <item x="52"/>
        <item x="37"/>
        <item x="51"/>
        <item x="67"/>
        <item x="66"/>
        <item x="36"/>
        <item x="50"/>
        <item x="5"/>
        <item x="4"/>
        <item x="35"/>
        <item x="34"/>
        <item x="3"/>
        <item x="49"/>
        <item x="33"/>
        <item x="32"/>
        <item x="2"/>
        <item x="65"/>
        <item x="31"/>
        <item x="64"/>
        <item x="63"/>
        <item x="62"/>
        <item x="30"/>
        <item x="48"/>
        <item x="29"/>
        <item x="28"/>
        <item x="27"/>
        <item x="1"/>
        <item x="26"/>
        <item x="25"/>
        <item x="24"/>
        <item x="23"/>
        <item x="0"/>
        <item x="47"/>
        <item x="22"/>
        <item x="21"/>
        <item x="61"/>
        <item t="default"/>
      </items>
    </pivotField>
    <pivotField numFmtId="44" showAll="0"/>
    <pivotField showAll="0">
      <items count="6">
        <item x="0"/>
        <item x="3"/>
        <item x="2"/>
        <item x="1"/>
        <item x="4"/>
        <item t="default"/>
      </items>
    </pivotField>
    <pivotField showAll="0"/>
    <pivotField dataField="1" showAll="0">
      <items count="6">
        <item x="1"/>
        <item x="0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atings Sccore" fld="8" subtotal="average" baseField="2" baseItem="0" numFmtId="174"/>
  </dataFields>
  <formats count="12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2" type="button" dataOnly="0" labelOnly="1" outline="0" axis="axisRow" fieldPosition="0"/>
    </format>
    <format dxfId="140">
      <pivotArea dataOnly="0" labelOnly="1" fieldPosition="0">
        <references count="1">
          <reference field="2" count="0"/>
        </references>
      </pivotArea>
    </format>
    <format dxfId="139">
      <pivotArea dataOnly="0" labelOnly="1" grandRow="1" outline="0" fieldPosition="0"/>
    </format>
    <format dxfId="138">
      <pivotArea dataOnly="0" labelOnly="1" outline="0" axis="axisValues" fieldPosition="0"/>
    </format>
    <format dxfId="86">
      <pivotArea type="all" dataOnly="0" outline="0" fieldPosition="0"/>
    </format>
    <format dxfId="72">
      <pivotArea outline="0" collapsedLevelsAreSubtotals="1" fieldPosition="0"/>
    </format>
    <format dxfId="71">
      <pivotArea field="2" type="button" dataOnly="0" labelOnly="1" outline="0" axis="axisRow" fieldPosition="0"/>
    </format>
    <format dxfId="70">
      <pivotArea dataOnly="0" labelOnly="1" fieldPosition="0">
        <references count="1">
          <reference field="2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24335-C5E6-4B03-AE8F-F6E5C141EAF6}" name="PivotTable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5" firstHeaderRow="1" firstDataRow="1" firstDataCol="1"/>
  <pivotFields count="12">
    <pivotField dataField="1" showAll="0"/>
    <pivotField axis="axisRow" showAll="0">
      <items count="3">
        <item x="0"/>
        <item x="1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numFmtId="14" showAll="0">
      <items count="83">
        <item x="81"/>
        <item x="80"/>
        <item x="16"/>
        <item x="15"/>
        <item x="46"/>
        <item x="45"/>
        <item x="20"/>
        <item x="60"/>
        <item x="79"/>
        <item x="78"/>
        <item x="44"/>
        <item x="77"/>
        <item x="76"/>
        <item x="14"/>
        <item x="75"/>
        <item x="59"/>
        <item x="43"/>
        <item x="13"/>
        <item x="19"/>
        <item x="12"/>
        <item x="42"/>
        <item x="74"/>
        <item x="41"/>
        <item x="73"/>
        <item x="11"/>
        <item x="58"/>
        <item x="10"/>
        <item x="72"/>
        <item x="71"/>
        <item x="70"/>
        <item x="57"/>
        <item x="69"/>
        <item x="56"/>
        <item x="68"/>
        <item x="55"/>
        <item x="54"/>
        <item x="9"/>
        <item x="18"/>
        <item x="40"/>
        <item x="8"/>
        <item x="39"/>
        <item x="7"/>
        <item x="53"/>
        <item x="38"/>
        <item x="17"/>
        <item x="6"/>
        <item x="52"/>
        <item x="37"/>
        <item x="51"/>
        <item x="67"/>
        <item x="66"/>
        <item x="36"/>
        <item x="50"/>
        <item x="5"/>
        <item x="4"/>
        <item x="35"/>
        <item x="34"/>
        <item x="3"/>
        <item x="49"/>
        <item x="33"/>
        <item x="32"/>
        <item x="2"/>
        <item x="65"/>
        <item x="31"/>
        <item x="64"/>
        <item x="63"/>
        <item x="62"/>
        <item x="30"/>
        <item x="48"/>
        <item x="29"/>
        <item x="28"/>
        <item x="27"/>
        <item x="1"/>
        <item x="26"/>
        <item x="25"/>
        <item x="24"/>
        <item x="23"/>
        <item x="0"/>
        <item x="47"/>
        <item x="22"/>
        <item x="21"/>
        <item x="61"/>
        <item t="default"/>
      </items>
    </pivotField>
    <pivotField numFmtId="44" showAll="0"/>
    <pivotField showAll="0">
      <items count="6">
        <item x="0"/>
        <item x="3"/>
        <item x="2"/>
        <item x="1"/>
        <item x="4"/>
        <item t="default"/>
      </items>
    </pivotField>
    <pivotField showAll="0"/>
    <pivotField showAll="0">
      <items count="6">
        <item x="1"/>
        <item x="0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Name" fld="0" subtotal="count" baseField="0" baseItem="0"/>
  </dataFields>
  <formats count="6"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1" type="button" dataOnly="0" labelOnly="1" outline="0" axis="axisRow" fieldPosition="0"/>
    </format>
    <format dxfId="154">
      <pivotArea dataOnly="0" labelOnly="1" fieldPosition="0">
        <references count="1">
          <reference field="1" count="0"/>
        </references>
      </pivotArea>
    </format>
    <format dxfId="153">
      <pivotArea dataOnly="0" labelOnly="1" grandRow="1" outline="0" fieldPosition="0"/>
    </format>
    <format dxfId="15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5E494-D485-4462-9EFF-CE40F70597F4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8:B14" firstHeaderRow="1" firstDataRow="1" firstDataCol="1"/>
  <pivotFields count="12">
    <pivotField dataField="1" showAll="0"/>
    <pivotField showAll="0">
      <items count="3">
        <item x="0"/>
        <item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14" showAll="0">
      <items count="83">
        <item x="81"/>
        <item x="80"/>
        <item x="16"/>
        <item x="15"/>
        <item x="46"/>
        <item x="45"/>
        <item x="20"/>
        <item x="60"/>
        <item x="79"/>
        <item x="78"/>
        <item x="44"/>
        <item x="77"/>
        <item x="76"/>
        <item x="14"/>
        <item x="75"/>
        <item x="59"/>
        <item x="43"/>
        <item x="13"/>
        <item x="19"/>
        <item x="12"/>
        <item x="42"/>
        <item x="74"/>
        <item x="41"/>
        <item x="73"/>
        <item x="11"/>
        <item x="58"/>
        <item x="10"/>
        <item x="72"/>
        <item x="71"/>
        <item x="70"/>
        <item x="57"/>
        <item x="69"/>
        <item x="56"/>
        <item x="68"/>
        <item x="55"/>
        <item x="54"/>
        <item x="9"/>
        <item x="18"/>
        <item x="40"/>
        <item x="8"/>
        <item x="39"/>
        <item x="7"/>
        <item x="53"/>
        <item x="38"/>
        <item x="17"/>
        <item x="6"/>
        <item x="52"/>
        <item x="37"/>
        <item x="51"/>
        <item x="67"/>
        <item x="66"/>
        <item x="36"/>
        <item x="50"/>
        <item x="5"/>
        <item x="4"/>
        <item x="35"/>
        <item x="34"/>
        <item x="3"/>
        <item x="49"/>
        <item x="33"/>
        <item x="32"/>
        <item x="2"/>
        <item x="65"/>
        <item x="31"/>
        <item x="64"/>
        <item x="63"/>
        <item x="62"/>
        <item x="30"/>
        <item x="48"/>
        <item x="29"/>
        <item x="28"/>
        <item x="27"/>
        <item x="1"/>
        <item x="26"/>
        <item x="25"/>
        <item x="24"/>
        <item x="23"/>
        <item x="0"/>
        <item x="47"/>
        <item x="22"/>
        <item x="21"/>
        <item x="61"/>
        <item t="default"/>
      </items>
    </pivotField>
    <pivotField numFmtId="44" showAll="0"/>
    <pivotField showAll="0">
      <items count="6">
        <item x="0"/>
        <item x="3"/>
        <item x="2"/>
        <item x="1"/>
        <item x="4"/>
        <item t="default"/>
      </items>
    </pivotField>
    <pivotField showAll="0"/>
    <pivotField showAll="0">
      <items count="6">
        <item x="1"/>
        <item x="0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Name" fld="0" subtotal="count" baseField="0" baseItem="0"/>
  </dataFields>
  <formats count="6">
    <format dxfId="150">
      <pivotArea type="all" dataOnly="0" outline="0" fieldPosition="0"/>
    </format>
    <format dxfId="149">
      <pivotArea outline="0" collapsedLevelsAreSubtotals="1" fieldPosition="0"/>
    </format>
    <format dxfId="148">
      <pivotArea field="2" type="button" dataOnly="0" labelOnly="1" outline="0" axis="axisRow" fieldPosition="0"/>
    </format>
    <format dxfId="147">
      <pivotArea dataOnly="0" labelOnly="1" fieldPosition="0">
        <references count="1">
          <reference field="2" count="0"/>
        </references>
      </pivotArea>
    </format>
    <format dxfId="146">
      <pivotArea dataOnly="0" labelOnly="1" grandRow="1" outline="0" fieldPosition="0"/>
    </format>
    <format dxfId="145">
      <pivotArea dataOnly="0" labelOnly="1" outline="0" axis="axisValues" fieldPosition="0"/>
    </format>
  </format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2F5106-89EE-4ABE-B92E-1E7D845D8116}" name="EmployeeTable" displayName="EmployeeTable" ref="A1:I89" totalsRowCount="1" dataDxfId="165">
  <autoFilter ref="A1:I88" xr:uid="{AA2F5106-89EE-4ABE-B92E-1E7D845D8116}"/>
  <sortState xmlns:xlrd2="http://schemas.microsoft.com/office/spreadsheetml/2017/richdata2" ref="A2:H88">
    <sortCondition ref="C2:C88"/>
  </sortState>
  <tableColumns count="9">
    <tableColumn id="1" xr3:uid="{12278E87-C0F9-4874-BB07-60B1AF7DDDC9}" name="Name" dataDxfId="168"/>
    <tableColumn id="2" xr3:uid="{107E60DD-0814-441D-BE73-68DDF697F7E7}" name="Gender" dataDxfId="167"/>
    <tableColumn id="3" xr3:uid="{BC7844CE-8F1F-4A9F-B2C4-BD291820E39F}" name="Department" dataDxfId="166"/>
    <tableColumn id="4" xr3:uid="{0E7DD8C2-105E-4AB4-9159-722E3CA1FE7C}" name="Age" totalsRowFunction="custom" dataDxfId="164">
      <totalsRowFormula>AVERAGE(D2:D88)</totalsRowFormula>
    </tableColumn>
    <tableColumn id="5" xr3:uid="{0A9F1087-18F1-4730-9BE4-1941953C1D9A}" name="Date Joined" dataDxfId="162" totalsRowDxfId="163"/>
    <tableColumn id="6" xr3:uid="{83EA1585-0067-4264-82E5-E320FD0E4406}" name="Salary" totalsRowFunction="custom" dataCellStyle="Currency" totalsRowCellStyle="Currency">
      <totalsRowFormula>SUM(EmployeeTable[Salary])</totalsRowFormula>
    </tableColumn>
    <tableColumn id="7" xr3:uid="{05E606D8-4932-477C-8A0C-D1CF628DF2ED}" name="Rating" totalsRowFunction="custom" dataDxfId="161">
      <totalsRowFormula>COUNTIF(EmployeeTable[Rating],"Average")</totalsRowFormula>
    </tableColumn>
    <tableColumn id="8" xr3:uid="{89AD7016-D7F0-4588-9331-D7B4BAA15136}" name="Promotion" dataDxfId="160">
      <calculatedColumnFormula>IF(AND(EmployeeTable[[#This Row],[Salary]]&gt;70000, OR(EmployeeTable[[#This Row],[Rating]]="Good", EmployeeTable[[#This Row],[Rating]]="Exceptional")), "Eligible", "Not Eligible")</calculatedColumnFormula>
    </tableColumn>
    <tableColumn id="9" xr3:uid="{DCD0BFFA-7E69-47CC-A966-E0BFFD2252F7}" name="Ratings Score" dataDxfId="159" totalsRowDxfId="158">
      <calculatedColumnFormula>IF(G2="Poor",1,IF(G2="Average",2,IF(G2="Good",3,IF(G2="Exceptional",4,""))))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28AE-4962-46ED-A9D1-11221C78991C}">
  <dimension ref="A1:I91"/>
  <sheetViews>
    <sheetView zoomScale="76" workbookViewId="0">
      <selection activeCell="I8" sqref="I8"/>
    </sheetView>
  </sheetViews>
  <sheetFormatPr defaultRowHeight="14.5" x14ac:dyDescent="0.35"/>
  <cols>
    <col min="1" max="1" width="20.1796875" bestFit="1" customWidth="1"/>
    <col min="2" max="2" width="10.36328125" bestFit="1" customWidth="1"/>
    <col min="3" max="3" width="14.453125" bestFit="1" customWidth="1"/>
    <col min="4" max="4" width="12.90625" bestFit="1" customWidth="1"/>
    <col min="5" max="5" width="14.08984375" style="1" bestFit="1" customWidth="1"/>
    <col min="6" max="6" width="14.7265625" style="3" bestFit="1" customWidth="1"/>
    <col min="7" max="7" width="10.453125" customWidth="1"/>
    <col min="8" max="8" width="13" bestFit="1" customWidth="1"/>
    <col min="9" max="9" width="16.26953125" style="6" bestFit="1" customWidth="1"/>
    <col min="26" max="26" width="13.6328125" bestFit="1" customWidth="1"/>
    <col min="27" max="27" width="13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3" t="s">
        <v>5</v>
      </c>
      <c r="G1" t="s">
        <v>6</v>
      </c>
      <c r="H1" t="s">
        <v>106</v>
      </c>
      <c r="I1" s="6" t="s">
        <v>115</v>
      </c>
    </row>
    <row r="2" spans="1:9" x14ac:dyDescent="0.35">
      <c r="A2" s="2" t="s">
        <v>57</v>
      </c>
      <c r="B2" s="2" t="s">
        <v>14</v>
      </c>
      <c r="C2" s="2" t="s">
        <v>15</v>
      </c>
      <c r="D2" s="2">
        <v>33</v>
      </c>
      <c r="E2" s="1">
        <v>44809</v>
      </c>
      <c r="F2" s="3">
        <v>86570</v>
      </c>
      <c r="G2" s="2" t="s">
        <v>12</v>
      </c>
      <c r="H2" s="2" t="str">
        <f>IF(AND(EmployeeTable[[#This Row],[Salary]]&gt;70000, OR(EmployeeTable[[#This Row],[Rating]]="Good", EmployeeTable[[#This Row],[Rating]]="Exceptional")), "Eligible", "Not Eligible")</f>
        <v>Not Eligible</v>
      </c>
      <c r="I2" s="6">
        <f t="shared" ref="I2:I33" si="0">IF(G2="Poor",1,IF(G2="Average",2,IF(G2="Good",3,IF(G2="Exceptional",4,""))))</f>
        <v>2</v>
      </c>
    </row>
    <row r="3" spans="1:9" x14ac:dyDescent="0.35">
      <c r="A3" s="2" t="s">
        <v>103</v>
      </c>
      <c r="B3" s="2" t="s">
        <v>8</v>
      </c>
      <c r="C3" s="2" t="s">
        <v>15</v>
      </c>
      <c r="D3" s="2">
        <v>42</v>
      </c>
      <c r="E3" s="1">
        <v>44731</v>
      </c>
      <c r="F3" s="3">
        <v>70270</v>
      </c>
      <c r="G3" s="2" t="s">
        <v>16</v>
      </c>
      <c r="H3" s="2" t="str">
        <f>IF(AND(EmployeeTable[[#This Row],[Salary]]&gt;70000, OR(EmployeeTable[[#This Row],[Rating]]="Good", EmployeeTable[[#This Row],[Rating]]="Exceptional")), "Eligible", "Not Eligible")</f>
        <v>Not Eligible</v>
      </c>
      <c r="I3" s="6">
        <f t="shared" si="0"/>
        <v>1</v>
      </c>
    </row>
    <row r="4" spans="1:9" x14ac:dyDescent="0.35">
      <c r="A4" s="2" t="s">
        <v>35</v>
      </c>
      <c r="B4" s="2" t="s">
        <v>14</v>
      </c>
      <c r="C4" s="2" t="s">
        <v>15</v>
      </c>
      <c r="D4" s="2">
        <v>34</v>
      </c>
      <c r="E4" s="1">
        <v>44653</v>
      </c>
      <c r="F4" s="3">
        <v>58940</v>
      </c>
      <c r="G4" s="2" t="s">
        <v>12</v>
      </c>
      <c r="H4" s="2" t="str">
        <f>IF(AND(EmployeeTable[[#This Row],[Salary]]&gt;70000, OR(EmployeeTable[[#This Row],[Rating]]="Good", EmployeeTable[[#This Row],[Rating]]="Exceptional")), "Eligible", "Not Eligible")</f>
        <v>Not Eligible</v>
      </c>
      <c r="I4" s="6">
        <f t="shared" si="0"/>
        <v>2</v>
      </c>
    </row>
    <row r="5" spans="1:9" x14ac:dyDescent="0.35">
      <c r="A5" s="2" t="s">
        <v>44</v>
      </c>
      <c r="B5" s="2" t="s">
        <v>14</v>
      </c>
      <c r="C5" s="2" t="s">
        <v>15</v>
      </c>
      <c r="D5" s="2">
        <v>34</v>
      </c>
      <c r="E5" s="1">
        <v>44612</v>
      </c>
      <c r="F5" s="3">
        <v>60130</v>
      </c>
      <c r="G5" s="2" t="s">
        <v>12</v>
      </c>
      <c r="H5" s="2" t="str">
        <f>IF(AND(EmployeeTable[[#This Row],[Salary]]&gt;70000, OR(EmployeeTable[[#This Row],[Rating]]="Good", EmployeeTable[[#This Row],[Rating]]="Exceptional")), "Eligible", "Not Eligible")</f>
        <v>Not Eligible</v>
      </c>
      <c r="I5" s="6">
        <f t="shared" si="0"/>
        <v>2</v>
      </c>
    </row>
    <row r="6" spans="1:9" x14ac:dyDescent="0.35">
      <c r="A6" s="2" t="s">
        <v>94</v>
      </c>
      <c r="B6" s="2" t="s">
        <v>8</v>
      </c>
      <c r="C6" s="2" t="s">
        <v>15</v>
      </c>
      <c r="D6" s="2">
        <v>30</v>
      </c>
      <c r="E6" s="1">
        <v>44606</v>
      </c>
      <c r="F6" s="3">
        <v>96800</v>
      </c>
      <c r="G6" s="2" t="s">
        <v>12</v>
      </c>
      <c r="H6" s="2" t="str">
        <f>IF(AND(EmployeeTable[[#This Row],[Salary]]&gt;70000, OR(EmployeeTable[[#This Row],[Rating]]="Good", EmployeeTable[[#This Row],[Rating]]="Exceptional")), "Eligible", "Not Eligible")</f>
        <v>Not Eligible</v>
      </c>
      <c r="I6" s="6">
        <f t="shared" si="0"/>
        <v>2</v>
      </c>
    </row>
    <row r="7" spans="1:9" x14ac:dyDescent="0.35">
      <c r="A7" s="2" t="s">
        <v>38</v>
      </c>
      <c r="B7" s="2" t="s">
        <v>8</v>
      </c>
      <c r="C7" s="2" t="s">
        <v>15</v>
      </c>
      <c r="D7" s="2">
        <v>27</v>
      </c>
      <c r="E7" s="1">
        <v>44567</v>
      </c>
      <c r="F7" s="3">
        <v>48980</v>
      </c>
      <c r="G7" s="2" t="s">
        <v>12</v>
      </c>
      <c r="H7" s="2" t="str">
        <f>IF(AND(EmployeeTable[[#This Row],[Salary]]&gt;70000, OR(EmployeeTable[[#This Row],[Rating]]="Good", EmployeeTable[[#This Row],[Rating]]="Exceptional")), "Eligible", "Not Eligible")</f>
        <v>Not Eligible</v>
      </c>
      <c r="I7" s="6">
        <f t="shared" si="0"/>
        <v>2</v>
      </c>
    </row>
    <row r="8" spans="1:9" x14ac:dyDescent="0.35">
      <c r="A8" s="2" t="s">
        <v>95</v>
      </c>
      <c r="B8" s="2" t="s">
        <v>14</v>
      </c>
      <c r="C8" s="2" t="s">
        <v>15</v>
      </c>
      <c r="D8" s="2">
        <v>34</v>
      </c>
      <c r="E8" s="1">
        <v>44459</v>
      </c>
      <c r="F8" s="3">
        <v>85000</v>
      </c>
      <c r="G8" s="2" t="s">
        <v>12</v>
      </c>
      <c r="H8" s="2" t="str">
        <f>IF(AND(EmployeeTable[[#This Row],[Salary]]&gt;70000, OR(EmployeeTable[[#This Row],[Rating]]="Good", EmployeeTable[[#This Row],[Rating]]="Exceptional")), "Eligible", "Not Eligible")</f>
        <v>Not Eligible</v>
      </c>
      <c r="I8" s="6">
        <f t="shared" si="0"/>
        <v>2</v>
      </c>
    </row>
    <row r="9" spans="1:9" x14ac:dyDescent="0.35">
      <c r="A9" s="2" t="s">
        <v>59</v>
      </c>
      <c r="B9" s="2" t="s">
        <v>14</v>
      </c>
      <c r="C9" s="2" t="s">
        <v>15</v>
      </c>
      <c r="D9" s="2">
        <v>34</v>
      </c>
      <c r="E9" s="1">
        <v>44445</v>
      </c>
      <c r="F9" s="3">
        <v>92450</v>
      </c>
      <c r="G9" s="2" t="s">
        <v>12</v>
      </c>
      <c r="H9" s="2" t="str">
        <f>IF(AND(EmployeeTable[[#This Row],[Salary]]&gt;70000, OR(EmployeeTable[[#This Row],[Rating]]="Good", EmployeeTable[[#This Row],[Rating]]="Exceptional")), "Eligible", "Not Eligible")</f>
        <v>Not Eligible</v>
      </c>
      <c r="I9" s="6">
        <f t="shared" si="0"/>
        <v>2</v>
      </c>
    </row>
    <row r="10" spans="1:9" x14ac:dyDescent="0.35">
      <c r="A10" s="2" t="s">
        <v>55</v>
      </c>
      <c r="B10" s="2" t="s">
        <v>8</v>
      </c>
      <c r="C10" s="2" t="s">
        <v>15</v>
      </c>
      <c r="D10" s="2">
        <v>24</v>
      </c>
      <c r="E10" s="1">
        <v>44436</v>
      </c>
      <c r="F10" s="3">
        <v>52610</v>
      </c>
      <c r="G10" s="2" t="s">
        <v>16</v>
      </c>
      <c r="H10" s="2" t="str">
        <f>IF(AND(EmployeeTable[[#This Row],[Salary]]&gt;70000, OR(EmployeeTable[[#This Row],[Rating]]="Good", EmployeeTable[[#This Row],[Rating]]="Exceptional")), "Eligible", "Not Eligible")</f>
        <v>Not Eligible</v>
      </c>
      <c r="I10" s="6">
        <f t="shared" si="0"/>
        <v>1</v>
      </c>
    </row>
    <row r="11" spans="1:9" x14ac:dyDescent="0.35">
      <c r="A11" s="2" t="s">
        <v>36</v>
      </c>
      <c r="B11" s="2" t="s">
        <v>14</v>
      </c>
      <c r="C11" s="2" t="s">
        <v>15</v>
      </c>
      <c r="D11" s="2">
        <v>30</v>
      </c>
      <c r="E11" s="1">
        <v>44389</v>
      </c>
      <c r="F11" s="3">
        <v>67910</v>
      </c>
      <c r="G11" s="2" t="s">
        <v>16</v>
      </c>
      <c r="H11" s="2" t="str">
        <f>IF(AND(EmployeeTable[[#This Row],[Salary]]&gt;70000, OR(EmployeeTable[[#This Row],[Rating]]="Good", EmployeeTable[[#This Row],[Rating]]="Exceptional")), "Eligible", "Not Eligible")</f>
        <v>Not Eligible</v>
      </c>
      <c r="I11" s="6">
        <f t="shared" si="0"/>
        <v>1</v>
      </c>
    </row>
    <row r="12" spans="1:9" x14ac:dyDescent="0.35">
      <c r="A12" s="2" t="s">
        <v>70</v>
      </c>
      <c r="B12" s="2" t="s">
        <v>8</v>
      </c>
      <c r="C12" s="2" t="s">
        <v>15</v>
      </c>
      <c r="D12" s="2">
        <v>36</v>
      </c>
      <c r="E12" s="1">
        <v>44333</v>
      </c>
      <c r="F12" s="3">
        <v>71380</v>
      </c>
      <c r="G12" s="2" t="s">
        <v>12</v>
      </c>
      <c r="H12" s="2" t="str">
        <f>IF(AND(EmployeeTable[[#This Row],[Salary]]&gt;70000, OR(EmployeeTable[[#This Row],[Rating]]="Good", EmployeeTable[[#This Row],[Rating]]="Exceptional")), "Eligible", "Not Eligible")</f>
        <v>Not Eligible</v>
      </c>
      <c r="I12" s="6">
        <f t="shared" si="0"/>
        <v>2</v>
      </c>
    </row>
    <row r="13" spans="1:9" x14ac:dyDescent="0.35">
      <c r="A13" s="2" t="s">
        <v>81</v>
      </c>
      <c r="B13" s="2" t="s">
        <v>14</v>
      </c>
      <c r="C13" s="2" t="s">
        <v>15</v>
      </c>
      <c r="D13" s="2">
        <v>21</v>
      </c>
      <c r="E13" s="1">
        <v>44317</v>
      </c>
      <c r="F13" s="3">
        <v>65920</v>
      </c>
      <c r="G13" s="2" t="s">
        <v>12</v>
      </c>
      <c r="H13" s="2" t="str">
        <f>IF(AND(EmployeeTable[[#This Row],[Salary]]&gt;70000, OR(EmployeeTable[[#This Row],[Rating]]="Good", EmployeeTable[[#This Row],[Rating]]="Exceptional")), "Eligible", "Not Eligible")</f>
        <v>Not Eligible</v>
      </c>
      <c r="I13" s="6">
        <f t="shared" si="0"/>
        <v>2</v>
      </c>
    </row>
    <row r="14" spans="1:9" x14ac:dyDescent="0.35">
      <c r="A14" s="2" t="s">
        <v>97</v>
      </c>
      <c r="B14" s="2" t="s">
        <v>8</v>
      </c>
      <c r="C14" s="2" t="s">
        <v>15</v>
      </c>
      <c r="D14" s="2">
        <v>33</v>
      </c>
      <c r="E14" s="1">
        <v>44243</v>
      </c>
      <c r="F14" s="3">
        <v>59430</v>
      </c>
      <c r="G14" s="2" t="s">
        <v>12</v>
      </c>
      <c r="H14" s="2" t="str">
        <f>IF(AND(EmployeeTable[[#This Row],[Salary]]&gt;70000, OR(EmployeeTable[[#This Row],[Rating]]="Good", EmployeeTable[[#This Row],[Rating]]="Exceptional")), "Eligible", "Not Eligible")</f>
        <v>Not Eligible</v>
      </c>
      <c r="I14" s="6">
        <f t="shared" si="0"/>
        <v>2</v>
      </c>
    </row>
    <row r="15" spans="1:9" x14ac:dyDescent="0.35">
      <c r="A15" s="2" t="s">
        <v>91</v>
      </c>
      <c r="B15" s="2" t="s">
        <v>8</v>
      </c>
      <c r="C15" s="2" t="s">
        <v>15</v>
      </c>
      <c r="D15" s="2">
        <v>27</v>
      </c>
      <c r="E15" s="1">
        <v>44236</v>
      </c>
      <c r="F15" s="3">
        <v>91650</v>
      </c>
      <c r="G15" s="2" t="s">
        <v>105</v>
      </c>
      <c r="H15" s="2" t="str">
        <f>IF(AND(EmployeeTable[[#This Row],[Salary]]&gt;70000, OR(EmployeeTable[[#This Row],[Rating]]="Good", EmployeeTable[[#This Row],[Rating]]="Exceptional")), "Eligible", "Not Eligible")</f>
        <v>Eligible</v>
      </c>
      <c r="I15" s="6">
        <f t="shared" si="0"/>
        <v>3</v>
      </c>
    </row>
    <row r="16" spans="1:9" x14ac:dyDescent="0.35">
      <c r="A16" s="2" t="s">
        <v>43</v>
      </c>
      <c r="B16" s="2" t="s">
        <v>14</v>
      </c>
      <c r="C16" s="2" t="s">
        <v>15</v>
      </c>
      <c r="D16" s="2">
        <v>28</v>
      </c>
      <c r="E16" s="1">
        <v>44185</v>
      </c>
      <c r="F16" s="3">
        <v>75970</v>
      </c>
      <c r="G16" s="2" t="s">
        <v>12</v>
      </c>
      <c r="H16" s="2" t="str">
        <f>IF(AND(EmployeeTable[[#This Row],[Salary]]&gt;70000, OR(EmployeeTable[[#This Row],[Rating]]="Good", EmployeeTable[[#This Row],[Rating]]="Exceptional")), "Eligible", "Not Eligible")</f>
        <v>Not Eligible</v>
      </c>
      <c r="I16" s="6">
        <f t="shared" si="0"/>
        <v>2</v>
      </c>
    </row>
    <row r="17" spans="1:9" x14ac:dyDescent="0.35">
      <c r="A17" s="2" t="s">
        <v>98</v>
      </c>
      <c r="B17" s="2" t="s">
        <v>14</v>
      </c>
      <c r="C17" s="2" t="s">
        <v>15</v>
      </c>
      <c r="D17" s="2">
        <v>33</v>
      </c>
      <c r="E17" s="1">
        <v>44067</v>
      </c>
      <c r="F17" s="3">
        <v>65360</v>
      </c>
      <c r="G17" s="2" t="s">
        <v>12</v>
      </c>
      <c r="H17" s="2" t="str">
        <f>IF(AND(EmployeeTable[[#This Row],[Salary]]&gt;70000, OR(EmployeeTable[[#This Row],[Rating]]="Good", EmployeeTable[[#This Row],[Rating]]="Exceptional")), "Eligible", "Not Eligible")</f>
        <v>Not Eligible</v>
      </c>
      <c r="I17" s="6">
        <f t="shared" si="0"/>
        <v>2</v>
      </c>
    </row>
    <row r="18" spans="1:9" x14ac:dyDescent="0.35">
      <c r="A18" s="2" t="s">
        <v>66</v>
      </c>
      <c r="B18" s="2" t="s">
        <v>8</v>
      </c>
      <c r="C18" s="2" t="s">
        <v>15</v>
      </c>
      <c r="D18" s="2">
        <v>28</v>
      </c>
      <c r="E18" s="1">
        <v>44041</v>
      </c>
      <c r="F18" s="3">
        <v>48170</v>
      </c>
      <c r="G18" s="2" t="s">
        <v>105</v>
      </c>
      <c r="H18" s="2" t="str">
        <f>IF(AND(EmployeeTable[[#This Row],[Salary]]&gt;70000, OR(EmployeeTable[[#This Row],[Rating]]="Good", EmployeeTable[[#This Row],[Rating]]="Exceptional")), "Eligible", "Not Eligible")</f>
        <v>Not Eligible</v>
      </c>
      <c r="I18" s="6">
        <f t="shared" si="0"/>
        <v>3</v>
      </c>
    </row>
    <row r="19" spans="1:9" x14ac:dyDescent="0.35">
      <c r="A19" s="2" t="s">
        <v>74</v>
      </c>
      <c r="B19" s="2" t="s">
        <v>14</v>
      </c>
      <c r="C19" s="2" t="s">
        <v>24</v>
      </c>
      <c r="D19" s="2">
        <v>37</v>
      </c>
      <c r="E19" s="1">
        <v>44451</v>
      </c>
      <c r="F19" s="3">
        <v>118100</v>
      </c>
      <c r="G19" s="2" t="s">
        <v>12</v>
      </c>
      <c r="H19" s="2" t="str">
        <f>IF(AND(EmployeeTable[[#This Row],[Salary]]&gt;70000, OR(EmployeeTable[[#This Row],[Rating]]="Good", EmployeeTable[[#This Row],[Rating]]="Exceptional")), "Eligible", "Not Eligible")</f>
        <v>Not Eligible</v>
      </c>
      <c r="I19" s="6">
        <f t="shared" si="0"/>
        <v>2</v>
      </c>
    </row>
    <row r="20" spans="1:9" x14ac:dyDescent="0.35">
      <c r="A20" s="2" t="s">
        <v>67</v>
      </c>
      <c r="B20" s="2" t="s">
        <v>14</v>
      </c>
      <c r="C20" s="2" t="s">
        <v>24</v>
      </c>
      <c r="D20" s="2">
        <v>32</v>
      </c>
      <c r="E20" s="1">
        <v>44400</v>
      </c>
      <c r="F20" s="3">
        <v>45510</v>
      </c>
      <c r="G20" s="2" t="s">
        <v>12</v>
      </c>
      <c r="H20" s="2" t="str">
        <f>IF(AND(EmployeeTable[[#This Row],[Salary]]&gt;70000, OR(EmployeeTable[[#This Row],[Rating]]="Good", EmployeeTable[[#This Row],[Rating]]="Exceptional")), "Eligible", "Not Eligible")</f>
        <v>Not Eligible</v>
      </c>
      <c r="I20" s="6">
        <f t="shared" si="0"/>
        <v>2</v>
      </c>
    </row>
    <row r="21" spans="1:9" x14ac:dyDescent="0.35">
      <c r="A21" s="2" t="s">
        <v>34</v>
      </c>
      <c r="B21" s="2" t="s">
        <v>8</v>
      </c>
      <c r="C21" s="2" t="s">
        <v>24</v>
      </c>
      <c r="D21" s="2">
        <v>21</v>
      </c>
      <c r="E21" s="1">
        <v>44242</v>
      </c>
      <c r="F21" s="3">
        <v>75880</v>
      </c>
      <c r="G21" s="2" t="s">
        <v>12</v>
      </c>
      <c r="H21" s="2" t="str">
        <f>IF(AND(EmployeeTable[[#This Row],[Salary]]&gt;70000, OR(EmployeeTable[[#This Row],[Rating]]="Good", EmployeeTable[[#This Row],[Rating]]="Exceptional")), "Eligible", "Not Eligible")</f>
        <v>Not Eligible</v>
      </c>
      <c r="I21" s="6">
        <f t="shared" si="0"/>
        <v>2</v>
      </c>
    </row>
    <row r="22" spans="1:9" x14ac:dyDescent="0.35">
      <c r="A22" s="2" t="s">
        <v>23</v>
      </c>
      <c r="B22" s="2" t="s">
        <v>14</v>
      </c>
      <c r="C22" s="2" t="s">
        <v>24</v>
      </c>
      <c r="D22" s="2">
        <v>27</v>
      </c>
      <c r="E22" s="1">
        <v>44122</v>
      </c>
      <c r="F22" s="3">
        <v>119110</v>
      </c>
      <c r="G22" s="2" t="s">
        <v>12</v>
      </c>
      <c r="H22" s="2" t="str">
        <f>IF(AND(EmployeeTable[[#This Row],[Salary]]&gt;70000, OR(EmployeeTable[[#This Row],[Rating]]="Good", EmployeeTable[[#This Row],[Rating]]="Exceptional")), "Eligible", "Not Eligible")</f>
        <v>Not Eligible</v>
      </c>
      <c r="I22" s="6">
        <f t="shared" si="0"/>
        <v>2</v>
      </c>
    </row>
    <row r="23" spans="1:9" x14ac:dyDescent="0.35">
      <c r="A23" s="2" t="s">
        <v>18</v>
      </c>
      <c r="B23" s="2" t="s">
        <v>14</v>
      </c>
      <c r="C23" s="2" t="s">
        <v>11</v>
      </c>
      <c r="D23" s="2">
        <v>30</v>
      </c>
      <c r="E23" s="1">
        <v>44861</v>
      </c>
      <c r="F23" s="3">
        <v>112570</v>
      </c>
      <c r="G23" s="2" t="s">
        <v>12</v>
      </c>
      <c r="H23" s="2" t="str">
        <f>IF(AND(EmployeeTable[[#This Row],[Salary]]&gt;70000, OR(EmployeeTable[[#This Row],[Rating]]="Good", EmployeeTable[[#This Row],[Rating]]="Exceptional")), "Eligible", "Not Eligible")</f>
        <v>Not Eligible</v>
      </c>
      <c r="I23" s="6">
        <f t="shared" si="0"/>
        <v>2</v>
      </c>
    </row>
    <row r="24" spans="1:9" x14ac:dyDescent="0.35">
      <c r="A24" s="2" t="s">
        <v>87</v>
      </c>
      <c r="B24" s="2" t="s">
        <v>14</v>
      </c>
      <c r="C24" s="2" t="s">
        <v>11</v>
      </c>
      <c r="D24" s="2">
        <v>30</v>
      </c>
      <c r="E24" s="1">
        <v>44850</v>
      </c>
      <c r="F24" s="3">
        <v>114180</v>
      </c>
      <c r="G24" s="2" t="s">
        <v>12</v>
      </c>
      <c r="H24" s="2" t="str">
        <f>IF(AND(EmployeeTable[[#This Row],[Salary]]&gt;70000, OR(EmployeeTable[[#This Row],[Rating]]="Good", EmployeeTable[[#This Row],[Rating]]="Exceptional")), "Eligible", "Not Eligible")</f>
        <v>Not Eligible</v>
      </c>
      <c r="I24" s="6">
        <f t="shared" si="0"/>
        <v>2</v>
      </c>
    </row>
    <row r="25" spans="1:9" x14ac:dyDescent="0.35">
      <c r="A25" s="2" t="s">
        <v>39</v>
      </c>
      <c r="B25" s="2" t="s">
        <v>14</v>
      </c>
      <c r="C25" s="2" t="s">
        <v>11</v>
      </c>
      <c r="D25" s="2">
        <v>42</v>
      </c>
      <c r="E25" s="1">
        <v>44779</v>
      </c>
      <c r="F25" s="3">
        <v>75000</v>
      </c>
      <c r="G25" s="2" t="s">
        <v>40</v>
      </c>
      <c r="H25" s="2" t="str">
        <f>IF(AND(EmployeeTable[[#This Row],[Salary]]&gt;70000, OR(EmployeeTable[[#This Row],[Rating]]="Good", EmployeeTable[[#This Row],[Rating]]="Exceptional")), "Eligible", "Not Eligible")</f>
        <v>Eligible</v>
      </c>
      <c r="I25" s="6">
        <f t="shared" si="0"/>
        <v>4</v>
      </c>
    </row>
    <row r="26" spans="1:9" x14ac:dyDescent="0.35">
      <c r="A26" s="2" t="s">
        <v>32</v>
      </c>
      <c r="B26" s="2" t="s">
        <v>8</v>
      </c>
      <c r="C26" s="2" t="s">
        <v>11</v>
      </c>
      <c r="D26" s="2">
        <v>21</v>
      </c>
      <c r="E26" s="1">
        <v>44762</v>
      </c>
      <c r="F26" s="3">
        <v>57090</v>
      </c>
      <c r="G26" s="2" t="s">
        <v>12</v>
      </c>
      <c r="H26" s="2" t="str">
        <f>IF(AND(EmployeeTable[[#This Row],[Salary]]&gt;70000, OR(EmployeeTable[[#This Row],[Rating]]="Good", EmployeeTable[[#This Row],[Rating]]="Exceptional")), "Eligible", "Not Eligible")</f>
        <v>Not Eligible</v>
      </c>
      <c r="I26" s="6">
        <f t="shared" si="0"/>
        <v>2</v>
      </c>
    </row>
    <row r="27" spans="1:9" x14ac:dyDescent="0.35">
      <c r="A27" s="2" t="s">
        <v>10</v>
      </c>
      <c r="B27" s="2" t="s">
        <v>8</v>
      </c>
      <c r="C27" s="2" t="s">
        <v>11</v>
      </c>
      <c r="D27" s="2">
        <v>46</v>
      </c>
      <c r="E27" s="1">
        <v>44758</v>
      </c>
      <c r="F27" s="3">
        <v>70610</v>
      </c>
      <c r="G27" s="2" t="s">
        <v>12</v>
      </c>
      <c r="H27" s="2" t="str">
        <f>IF(AND(EmployeeTable[[#This Row],[Salary]]&gt;70000, OR(EmployeeTable[[#This Row],[Rating]]="Good", EmployeeTable[[#This Row],[Rating]]="Exceptional")), "Eligible", "Not Eligible")</f>
        <v>Not Eligible</v>
      </c>
      <c r="I27" s="6">
        <f t="shared" si="0"/>
        <v>2</v>
      </c>
    </row>
    <row r="28" spans="1:9" x14ac:dyDescent="0.35">
      <c r="A28" s="2" t="s">
        <v>61</v>
      </c>
      <c r="B28" s="2" t="s">
        <v>8</v>
      </c>
      <c r="C28" s="2" t="s">
        <v>11</v>
      </c>
      <c r="D28" s="2">
        <v>20</v>
      </c>
      <c r="E28" s="1">
        <v>44744</v>
      </c>
      <c r="F28" s="3">
        <v>79570</v>
      </c>
      <c r="G28" s="2" t="s">
        <v>12</v>
      </c>
      <c r="H28" s="2" t="str">
        <f>IF(AND(EmployeeTable[[#This Row],[Salary]]&gt;70000, OR(EmployeeTable[[#This Row],[Rating]]="Good", EmployeeTable[[#This Row],[Rating]]="Exceptional")), "Eligible", "Not Eligible")</f>
        <v>Not Eligible</v>
      </c>
      <c r="I28" s="6">
        <f t="shared" si="0"/>
        <v>2</v>
      </c>
    </row>
    <row r="29" spans="1:9" x14ac:dyDescent="0.35">
      <c r="A29" s="2" t="s">
        <v>90</v>
      </c>
      <c r="B29" s="2" t="s">
        <v>8</v>
      </c>
      <c r="C29" s="2" t="s">
        <v>11</v>
      </c>
      <c r="D29" s="2">
        <v>35</v>
      </c>
      <c r="E29" s="1">
        <v>44727</v>
      </c>
      <c r="F29" s="3">
        <v>40400</v>
      </c>
      <c r="G29" s="2" t="s">
        <v>12</v>
      </c>
      <c r="H29" s="2" t="str">
        <f>IF(AND(EmployeeTable[[#This Row],[Salary]]&gt;70000, OR(EmployeeTable[[#This Row],[Rating]]="Good", EmployeeTable[[#This Row],[Rating]]="Exceptional")), "Eligible", "Not Eligible")</f>
        <v>Not Eligible</v>
      </c>
      <c r="I29" s="6">
        <f t="shared" si="0"/>
        <v>2</v>
      </c>
    </row>
    <row r="30" spans="1:9" x14ac:dyDescent="0.35">
      <c r="A30" s="2" t="s">
        <v>49</v>
      </c>
      <c r="B30" s="2" t="s">
        <v>8</v>
      </c>
      <c r="C30" s="2" t="s">
        <v>11</v>
      </c>
      <c r="D30" s="2">
        <v>25</v>
      </c>
      <c r="E30" s="1">
        <v>44726</v>
      </c>
      <c r="F30" s="3">
        <v>109190</v>
      </c>
      <c r="G30" s="2" t="s">
        <v>105</v>
      </c>
      <c r="H30" s="2" t="str">
        <f>IF(AND(EmployeeTable[[#This Row],[Salary]]&gt;70000, OR(EmployeeTable[[#This Row],[Rating]]="Good", EmployeeTable[[#This Row],[Rating]]="Exceptional")), "Eligible", "Not Eligible")</f>
        <v>Eligible</v>
      </c>
      <c r="I30" s="6">
        <f t="shared" si="0"/>
        <v>3</v>
      </c>
    </row>
    <row r="31" spans="1:9" x14ac:dyDescent="0.35">
      <c r="A31" s="2" t="s">
        <v>53</v>
      </c>
      <c r="B31" s="2" t="s">
        <v>8</v>
      </c>
      <c r="C31" s="2" t="s">
        <v>11</v>
      </c>
      <c r="D31" s="2">
        <v>31</v>
      </c>
      <c r="E31" s="1">
        <v>44724</v>
      </c>
      <c r="F31" s="3">
        <v>103550</v>
      </c>
      <c r="G31" s="2" t="s">
        <v>12</v>
      </c>
      <c r="H31" s="2" t="str">
        <f>IF(AND(EmployeeTable[[#This Row],[Salary]]&gt;70000, OR(EmployeeTable[[#This Row],[Rating]]="Good", EmployeeTable[[#This Row],[Rating]]="Exceptional")), "Eligible", "Not Eligible")</f>
        <v>Not Eligible</v>
      </c>
      <c r="I31" s="6">
        <f t="shared" si="0"/>
        <v>2</v>
      </c>
    </row>
    <row r="32" spans="1:9" x14ac:dyDescent="0.35">
      <c r="A32" s="2" t="s">
        <v>19</v>
      </c>
      <c r="B32" s="2" t="s">
        <v>8</v>
      </c>
      <c r="C32" s="2" t="s">
        <v>11</v>
      </c>
      <c r="D32" s="2">
        <v>33</v>
      </c>
      <c r="E32" s="1">
        <v>44701</v>
      </c>
      <c r="F32" s="3">
        <v>48530</v>
      </c>
      <c r="G32" s="2" t="s">
        <v>105</v>
      </c>
      <c r="H32" s="2" t="str">
        <f>IF(AND(EmployeeTable[[#This Row],[Salary]]&gt;70000, OR(EmployeeTable[[#This Row],[Rating]]="Good", EmployeeTable[[#This Row],[Rating]]="Exceptional")), "Eligible", "Not Eligible")</f>
        <v>Not Eligible</v>
      </c>
      <c r="I32" s="6">
        <f t="shared" si="0"/>
        <v>3</v>
      </c>
    </row>
    <row r="33" spans="1:9" x14ac:dyDescent="0.35">
      <c r="A33" s="2" t="s">
        <v>102</v>
      </c>
      <c r="B33" s="2" t="s">
        <v>8</v>
      </c>
      <c r="C33" s="2" t="s">
        <v>11</v>
      </c>
      <c r="D33" s="2">
        <v>30</v>
      </c>
      <c r="E33" s="1">
        <v>44701</v>
      </c>
      <c r="F33" s="3">
        <v>67950</v>
      </c>
      <c r="G33" s="2" t="s">
        <v>12</v>
      </c>
      <c r="H33" s="2" t="str">
        <f>IF(AND(EmployeeTable[[#This Row],[Salary]]&gt;70000, OR(EmployeeTable[[#This Row],[Rating]]="Good", EmployeeTable[[#This Row],[Rating]]="Exceptional")), "Eligible", "Not Eligible")</f>
        <v>Not Eligible</v>
      </c>
      <c r="I33" s="6">
        <f t="shared" si="0"/>
        <v>2</v>
      </c>
    </row>
    <row r="34" spans="1:9" x14ac:dyDescent="0.35">
      <c r="A34" s="2" t="s">
        <v>83</v>
      </c>
      <c r="B34" s="2" t="s">
        <v>8</v>
      </c>
      <c r="C34" s="2" t="s">
        <v>11</v>
      </c>
      <c r="D34" s="2">
        <v>30</v>
      </c>
      <c r="E34" s="1">
        <v>44666</v>
      </c>
      <c r="F34" s="3">
        <v>60570</v>
      </c>
      <c r="G34" s="2" t="s">
        <v>12</v>
      </c>
      <c r="H34" s="2" t="str">
        <f>IF(AND(EmployeeTable[[#This Row],[Salary]]&gt;70000, OR(EmployeeTable[[#This Row],[Rating]]="Good", EmployeeTable[[#This Row],[Rating]]="Exceptional")), "Eligible", "Not Eligible")</f>
        <v>Not Eligible</v>
      </c>
      <c r="I34" s="6">
        <f t="shared" ref="I34:I65" si="1">IF(G34="Poor",1,IF(G34="Average",2,IF(G34="Good",3,IF(G34="Exceptional",4,""))))</f>
        <v>2</v>
      </c>
    </row>
    <row r="35" spans="1:9" x14ac:dyDescent="0.35">
      <c r="A35" s="2" t="s">
        <v>84</v>
      </c>
      <c r="B35" s="2" t="s">
        <v>14</v>
      </c>
      <c r="C35" s="2" t="s">
        <v>11</v>
      </c>
      <c r="D35" s="2">
        <v>28</v>
      </c>
      <c r="E35" s="1">
        <v>44649</v>
      </c>
      <c r="F35" s="3">
        <v>104120</v>
      </c>
      <c r="G35" s="2" t="s">
        <v>12</v>
      </c>
      <c r="H35" s="2" t="str">
        <f>IF(AND(EmployeeTable[[#This Row],[Salary]]&gt;70000, OR(EmployeeTable[[#This Row],[Rating]]="Good", EmployeeTable[[#This Row],[Rating]]="Exceptional")), "Eligible", "Not Eligible")</f>
        <v>Not Eligible</v>
      </c>
      <c r="I35" s="6">
        <f t="shared" si="1"/>
        <v>2</v>
      </c>
    </row>
    <row r="36" spans="1:9" x14ac:dyDescent="0.35">
      <c r="A36" s="2" t="s">
        <v>51</v>
      </c>
      <c r="B36" s="2" t="s">
        <v>14</v>
      </c>
      <c r="C36" s="2" t="s">
        <v>11</v>
      </c>
      <c r="D36" s="2">
        <v>28</v>
      </c>
      <c r="E36" s="1">
        <v>44630</v>
      </c>
      <c r="F36" s="3">
        <v>99970</v>
      </c>
      <c r="G36" s="2" t="s">
        <v>12</v>
      </c>
      <c r="H36" s="2" t="str">
        <f>IF(AND(EmployeeTable[[#This Row],[Salary]]&gt;70000, OR(EmployeeTable[[#This Row],[Rating]]="Good", EmployeeTable[[#This Row],[Rating]]="Exceptional")), "Eligible", "Not Eligible")</f>
        <v>Not Eligible</v>
      </c>
      <c r="I36" s="6">
        <f t="shared" si="1"/>
        <v>2</v>
      </c>
    </row>
    <row r="37" spans="1:9" x14ac:dyDescent="0.35">
      <c r="A37" s="2" t="s">
        <v>99</v>
      </c>
      <c r="B37" s="2" t="s">
        <v>14</v>
      </c>
      <c r="C37" s="2" t="s">
        <v>11</v>
      </c>
      <c r="D37" s="2">
        <v>32</v>
      </c>
      <c r="E37" s="1">
        <v>44611</v>
      </c>
      <c r="F37" s="3">
        <v>41570</v>
      </c>
      <c r="G37" s="2" t="s">
        <v>12</v>
      </c>
      <c r="H37" s="2" t="str">
        <f>IF(AND(EmployeeTable[[#This Row],[Salary]]&gt;70000, OR(EmployeeTable[[#This Row],[Rating]]="Good", EmployeeTable[[#This Row],[Rating]]="Exceptional")), "Eligible", "Not Eligible")</f>
        <v>Not Eligible</v>
      </c>
      <c r="I37" s="6">
        <f t="shared" si="1"/>
        <v>2</v>
      </c>
    </row>
    <row r="38" spans="1:9" x14ac:dyDescent="0.35">
      <c r="A38" s="2" t="s">
        <v>72</v>
      </c>
      <c r="B38" s="2" t="s">
        <v>8</v>
      </c>
      <c r="C38" s="2" t="s">
        <v>11</v>
      </c>
      <c r="D38" s="2">
        <v>27</v>
      </c>
      <c r="E38" s="1">
        <v>44609</v>
      </c>
      <c r="F38" s="3">
        <v>113280</v>
      </c>
      <c r="G38" s="2" t="s">
        <v>46</v>
      </c>
      <c r="H38" s="2" t="str">
        <f>IF(AND(EmployeeTable[[#This Row],[Salary]]&gt;70000, OR(EmployeeTable[[#This Row],[Rating]]="Good", EmployeeTable[[#This Row],[Rating]]="Exceptional")), "Eligible", "Not Eligible")</f>
        <v>Not Eligible</v>
      </c>
      <c r="I38" s="6" t="str">
        <f t="shared" si="1"/>
        <v/>
      </c>
    </row>
    <row r="39" spans="1:9" x14ac:dyDescent="0.35">
      <c r="A39" s="2" t="s">
        <v>56</v>
      </c>
      <c r="B39" s="2" t="s">
        <v>14</v>
      </c>
      <c r="C39" s="2" t="s">
        <v>11</v>
      </c>
      <c r="D39" s="2">
        <v>36</v>
      </c>
      <c r="E39" s="1">
        <v>44529</v>
      </c>
      <c r="F39" s="3">
        <v>78390</v>
      </c>
      <c r="G39" s="2" t="s">
        <v>12</v>
      </c>
      <c r="H39" s="2" t="str">
        <f>IF(AND(EmployeeTable[[#This Row],[Salary]]&gt;70000, OR(EmployeeTable[[#This Row],[Rating]]="Good", EmployeeTable[[#This Row],[Rating]]="Exceptional")), "Eligible", "Not Eligible")</f>
        <v>Not Eligible</v>
      </c>
      <c r="I39" s="6">
        <f t="shared" si="1"/>
        <v>2</v>
      </c>
    </row>
    <row r="40" spans="1:9" x14ac:dyDescent="0.35">
      <c r="A40" s="2" t="s">
        <v>77</v>
      </c>
      <c r="B40" s="2" t="s">
        <v>14</v>
      </c>
      <c r="C40" s="2" t="s">
        <v>11</v>
      </c>
      <c r="D40" s="2">
        <v>28</v>
      </c>
      <c r="E40" s="1">
        <v>44486</v>
      </c>
      <c r="F40" s="3">
        <v>104770</v>
      </c>
      <c r="G40" s="2" t="s">
        <v>12</v>
      </c>
      <c r="H40" s="2" t="str">
        <f>IF(AND(EmployeeTable[[#This Row],[Salary]]&gt;70000, OR(EmployeeTable[[#This Row],[Rating]]="Good", EmployeeTable[[#This Row],[Rating]]="Exceptional")), "Eligible", "Not Eligible")</f>
        <v>Not Eligible</v>
      </c>
      <c r="I40" s="6">
        <f t="shared" si="1"/>
        <v>2</v>
      </c>
    </row>
    <row r="41" spans="1:9" x14ac:dyDescent="0.35">
      <c r="A41" s="2" t="s">
        <v>75</v>
      </c>
      <c r="B41" s="2" t="s">
        <v>14</v>
      </c>
      <c r="C41" s="2" t="s">
        <v>11</v>
      </c>
      <c r="D41" s="2">
        <v>22</v>
      </c>
      <c r="E41" s="1">
        <v>44450</v>
      </c>
      <c r="F41" s="3">
        <v>76900</v>
      </c>
      <c r="G41" s="2" t="s">
        <v>105</v>
      </c>
      <c r="H41" s="2" t="str">
        <f>IF(AND(EmployeeTable[[#This Row],[Salary]]&gt;70000, OR(EmployeeTable[[#This Row],[Rating]]="Good", EmployeeTable[[#This Row],[Rating]]="Exceptional")), "Eligible", "Not Eligible")</f>
        <v>Eligible</v>
      </c>
      <c r="I41" s="6">
        <f t="shared" si="1"/>
        <v>3</v>
      </c>
    </row>
    <row r="42" spans="1:9" x14ac:dyDescent="0.35">
      <c r="A42" s="2" t="s">
        <v>89</v>
      </c>
      <c r="B42" s="2" t="s">
        <v>8</v>
      </c>
      <c r="C42" s="2" t="s">
        <v>11</v>
      </c>
      <c r="D42" s="2">
        <v>23</v>
      </c>
      <c r="E42" s="1">
        <v>44440</v>
      </c>
      <c r="F42" s="3">
        <v>106460</v>
      </c>
      <c r="G42" s="2" t="s">
        <v>12</v>
      </c>
      <c r="H42" s="2" t="str">
        <f>IF(AND(EmployeeTable[[#This Row],[Salary]]&gt;70000, OR(EmployeeTable[[#This Row],[Rating]]="Good", EmployeeTable[[#This Row],[Rating]]="Exceptional")), "Eligible", "Not Eligible")</f>
        <v>Not Eligible</v>
      </c>
      <c r="I42" s="6">
        <f t="shared" si="1"/>
        <v>2</v>
      </c>
    </row>
    <row r="43" spans="1:9" x14ac:dyDescent="0.35">
      <c r="A43" s="2" t="s">
        <v>104</v>
      </c>
      <c r="B43" s="2" t="s">
        <v>8</v>
      </c>
      <c r="C43" s="2" t="s">
        <v>11</v>
      </c>
      <c r="D43" s="2">
        <v>26</v>
      </c>
      <c r="E43" s="1">
        <v>44411</v>
      </c>
      <c r="F43" s="3">
        <v>53540</v>
      </c>
      <c r="G43" s="2" t="s">
        <v>12</v>
      </c>
      <c r="H43" s="2" t="str">
        <f>IF(AND(EmployeeTable[[#This Row],[Salary]]&gt;70000, OR(EmployeeTable[[#This Row],[Rating]]="Good", EmployeeTable[[#This Row],[Rating]]="Exceptional")), "Eligible", "Not Eligible")</f>
        <v>Not Eligible</v>
      </c>
      <c r="I43" s="6">
        <f t="shared" si="1"/>
        <v>2</v>
      </c>
    </row>
    <row r="44" spans="1:9" x14ac:dyDescent="0.35">
      <c r="A44" s="2" t="s">
        <v>64</v>
      </c>
      <c r="B44" s="2" t="s">
        <v>8</v>
      </c>
      <c r="C44" s="2" t="s">
        <v>11</v>
      </c>
      <c r="D44" s="2">
        <v>19</v>
      </c>
      <c r="E44" s="1">
        <v>44277</v>
      </c>
      <c r="F44" s="3">
        <v>58960</v>
      </c>
      <c r="G44" s="2" t="s">
        <v>12</v>
      </c>
      <c r="H44" s="2" t="str">
        <f>IF(AND(EmployeeTable[[#This Row],[Salary]]&gt;70000, OR(EmployeeTable[[#This Row],[Rating]]="Good", EmployeeTable[[#This Row],[Rating]]="Exceptional")), "Eligible", "Not Eligible")</f>
        <v>Not Eligible</v>
      </c>
      <c r="I44" s="6">
        <f t="shared" si="1"/>
        <v>2</v>
      </c>
    </row>
    <row r="45" spans="1:9" x14ac:dyDescent="0.35">
      <c r="A45" s="2" t="s">
        <v>30</v>
      </c>
      <c r="B45" s="2" t="s">
        <v>8</v>
      </c>
      <c r="C45" s="2" t="s">
        <v>11</v>
      </c>
      <c r="D45" s="2">
        <v>40</v>
      </c>
      <c r="E45" s="1">
        <v>44263</v>
      </c>
      <c r="F45" s="3">
        <v>99750</v>
      </c>
      <c r="G45" s="2" t="s">
        <v>12</v>
      </c>
      <c r="H45" s="2" t="str">
        <f>IF(AND(EmployeeTable[[#This Row],[Salary]]&gt;70000, OR(EmployeeTable[[#This Row],[Rating]]="Good", EmployeeTable[[#This Row],[Rating]]="Exceptional")), "Eligible", "Not Eligible")</f>
        <v>Not Eligible</v>
      </c>
      <c r="I45" s="6">
        <f t="shared" si="1"/>
        <v>2</v>
      </c>
    </row>
    <row r="46" spans="1:9" x14ac:dyDescent="0.35">
      <c r="A46" s="2" t="s">
        <v>82</v>
      </c>
      <c r="B46" s="2" t="s">
        <v>8</v>
      </c>
      <c r="C46" s="2" t="s">
        <v>11</v>
      </c>
      <c r="D46" s="2">
        <v>26</v>
      </c>
      <c r="E46" s="1">
        <v>44225</v>
      </c>
      <c r="F46" s="3">
        <v>47360</v>
      </c>
      <c r="G46" s="2" t="s">
        <v>12</v>
      </c>
      <c r="H46" s="2" t="str">
        <f>IF(AND(EmployeeTable[[#This Row],[Salary]]&gt;70000, OR(EmployeeTable[[#This Row],[Rating]]="Good", EmployeeTable[[#This Row],[Rating]]="Exceptional")), "Eligible", "Not Eligible")</f>
        <v>Not Eligible</v>
      </c>
      <c r="I46" s="6">
        <f t="shared" si="1"/>
        <v>2</v>
      </c>
    </row>
    <row r="47" spans="1:9" x14ac:dyDescent="0.35">
      <c r="A47" s="2" t="s">
        <v>47</v>
      </c>
      <c r="B47" s="2" t="s">
        <v>8</v>
      </c>
      <c r="C47" s="2" t="s">
        <v>11</v>
      </c>
      <c r="D47" s="2">
        <v>33</v>
      </c>
      <c r="E47" s="1">
        <v>44164</v>
      </c>
      <c r="F47" s="3">
        <v>115920</v>
      </c>
      <c r="G47" s="2" t="s">
        <v>12</v>
      </c>
      <c r="H47" s="2" t="str">
        <f>IF(AND(EmployeeTable[[#This Row],[Salary]]&gt;70000, OR(EmployeeTable[[#This Row],[Rating]]="Good", EmployeeTable[[#This Row],[Rating]]="Exceptional")), "Eligible", "Not Eligible")</f>
        <v>Not Eligible</v>
      </c>
      <c r="I47" s="6">
        <f t="shared" si="1"/>
        <v>2</v>
      </c>
    </row>
    <row r="48" spans="1:9" x14ac:dyDescent="0.35">
      <c r="A48" s="2" t="s">
        <v>31</v>
      </c>
      <c r="B48" s="2" t="s">
        <v>8</v>
      </c>
      <c r="C48" s="2" t="s">
        <v>11</v>
      </c>
      <c r="D48" s="2">
        <v>21</v>
      </c>
      <c r="E48" s="1">
        <v>44104</v>
      </c>
      <c r="F48" s="3">
        <v>37920</v>
      </c>
      <c r="G48" s="2" t="s">
        <v>12</v>
      </c>
      <c r="H48" s="2" t="str">
        <f>IF(AND(EmployeeTable[[#This Row],[Salary]]&gt;70000, OR(EmployeeTable[[#This Row],[Rating]]="Good", EmployeeTable[[#This Row],[Rating]]="Exceptional")), "Eligible", "Not Eligible")</f>
        <v>Not Eligible</v>
      </c>
      <c r="I48" s="6">
        <f t="shared" si="1"/>
        <v>2</v>
      </c>
    </row>
    <row r="49" spans="1:9" x14ac:dyDescent="0.35">
      <c r="A49" s="2" t="s">
        <v>68</v>
      </c>
      <c r="B49" s="2" t="s">
        <v>14</v>
      </c>
      <c r="C49" s="2" t="s">
        <v>11</v>
      </c>
      <c r="D49" s="2">
        <v>36</v>
      </c>
      <c r="E49" s="1">
        <v>44085</v>
      </c>
      <c r="F49" s="3">
        <v>114890</v>
      </c>
      <c r="G49" s="2" t="s">
        <v>12</v>
      </c>
      <c r="H49" s="2" t="str">
        <f>IF(AND(EmployeeTable[[#This Row],[Salary]]&gt;70000, OR(EmployeeTable[[#This Row],[Rating]]="Good", EmployeeTable[[#This Row],[Rating]]="Exceptional")), "Eligible", "Not Eligible")</f>
        <v>Not Eligible</v>
      </c>
      <c r="I49" s="6">
        <f t="shared" si="1"/>
        <v>2</v>
      </c>
    </row>
    <row r="50" spans="1:9" x14ac:dyDescent="0.35">
      <c r="A50" s="2" t="s">
        <v>96</v>
      </c>
      <c r="B50" s="2" t="s">
        <v>8</v>
      </c>
      <c r="C50" s="2" t="s">
        <v>9</v>
      </c>
      <c r="D50" s="2">
        <v>28</v>
      </c>
      <c r="E50" s="1">
        <v>44820</v>
      </c>
      <c r="F50" s="3">
        <v>43510</v>
      </c>
      <c r="G50" s="2" t="s">
        <v>46</v>
      </c>
      <c r="H50" s="2" t="str">
        <f>IF(AND(EmployeeTable[[#This Row],[Salary]]&gt;70000, OR(EmployeeTable[[#This Row],[Rating]]="Good", EmployeeTable[[#This Row],[Rating]]="Exceptional")), "Eligible", "Not Eligible")</f>
        <v>Not Eligible</v>
      </c>
      <c r="I50" s="6" t="str">
        <f t="shared" si="1"/>
        <v/>
      </c>
    </row>
    <row r="51" spans="1:9" x14ac:dyDescent="0.35">
      <c r="A51" s="2" t="s">
        <v>50</v>
      </c>
      <c r="B51" s="2" t="s">
        <v>14</v>
      </c>
      <c r="C51" s="2" t="s">
        <v>9</v>
      </c>
      <c r="D51" s="2">
        <v>34</v>
      </c>
      <c r="E51" s="1">
        <v>44721</v>
      </c>
      <c r="F51" s="3">
        <v>49630</v>
      </c>
      <c r="G51" s="2" t="s">
        <v>16</v>
      </c>
      <c r="H51" s="2" t="str">
        <f>IF(AND(EmployeeTable[[#This Row],[Salary]]&gt;70000, OR(EmployeeTable[[#This Row],[Rating]]="Good", EmployeeTable[[#This Row],[Rating]]="Exceptional")), "Eligible", "Not Eligible")</f>
        <v>Not Eligible</v>
      </c>
      <c r="I51" s="6">
        <f t="shared" si="1"/>
        <v>1</v>
      </c>
    </row>
    <row r="52" spans="1:9" x14ac:dyDescent="0.35">
      <c r="A52" s="2" t="s">
        <v>92</v>
      </c>
      <c r="B52" s="2" t="s">
        <v>8</v>
      </c>
      <c r="C52" s="2" t="s">
        <v>9</v>
      </c>
      <c r="D52" s="2">
        <v>43</v>
      </c>
      <c r="E52" s="1">
        <v>44620</v>
      </c>
      <c r="F52" s="3">
        <v>36040</v>
      </c>
      <c r="G52" s="2" t="s">
        <v>12</v>
      </c>
      <c r="H52" s="2" t="str">
        <f>IF(AND(EmployeeTable[[#This Row],[Salary]]&gt;70000, OR(EmployeeTable[[#This Row],[Rating]]="Good", EmployeeTable[[#This Row],[Rating]]="Exceptional")), "Eligible", "Not Eligible")</f>
        <v>Not Eligible</v>
      </c>
      <c r="I52" s="6">
        <f t="shared" si="1"/>
        <v>2</v>
      </c>
    </row>
    <row r="53" spans="1:9" x14ac:dyDescent="0.35">
      <c r="A53" s="2" t="s">
        <v>62</v>
      </c>
      <c r="B53" s="2" t="s">
        <v>14</v>
      </c>
      <c r="C53" s="2" t="s">
        <v>9</v>
      </c>
      <c r="D53" s="2">
        <v>20</v>
      </c>
      <c r="E53" s="1">
        <v>44537</v>
      </c>
      <c r="F53" s="3">
        <v>68900</v>
      </c>
      <c r="G53" s="2" t="s">
        <v>16</v>
      </c>
      <c r="H53" s="2" t="str">
        <f>IF(AND(EmployeeTable[[#This Row],[Salary]]&gt;70000, OR(EmployeeTable[[#This Row],[Rating]]="Good", EmployeeTable[[#This Row],[Rating]]="Exceptional")), "Eligible", "Not Eligible")</f>
        <v>Not Eligible</v>
      </c>
      <c r="I53" s="6">
        <f t="shared" si="1"/>
        <v>1</v>
      </c>
    </row>
    <row r="54" spans="1:9" x14ac:dyDescent="0.35">
      <c r="A54" s="2" t="s">
        <v>48</v>
      </c>
      <c r="B54" s="2" t="s">
        <v>14</v>
      </c>
      <c r="C54" s="2" t="s">
        <v>9</v>
      </c>
      <c r="D54" s="2">
        <v>36</v>
      </c>
      <c r="E54" s="1">
        <v>44494</v>
      </c>
      <c r="F54" s="3">
        <v>78540</v>
      </c>
      <c r="G54" s="2" t="s">
        <v>12</v>
      </c>
      <c r="H54" s="2" t="str">
        <f>IF(AND(EmployeeTable[[#This Row],[Salary]]&gt;70000, OR(EmployeeTable[[#This Row],[Rating]]="Good", EmployeeTable[[#This Row],[Rating]]="Exceptional")), "Eligible", "Not Eligible")</f>
        <v>Not Eligible</v>
      </c>
      <c r="I54" s="6">
        <f t="shared" si="1"/>
        <v>2</v>
      </c>
    </row>
    <row r="55" spans="1:9" x14ac:dyDescent="0.35">
      <c r="A55" s="2" t="s">
        <v>17</v>
      </c>
      <c r="B55" s="2" t="s">
        <v>8</v>
      </c>
      <c r="C55" s="2" t="s">
        <v>9</v>
      </c>
      <c r="D55" s="2">
        <v>32</v>
      </c>
      <c r="E55" s="1">
        <v>44465</v>
      </c>
      <c r="F55" s="3">
        <v>53540</v>
      </c>
      <c r="G55" s="2" t="s">
        <v>12</v>
      </c>
      <c r="H55" s="2" t="str">
        <f>IF(AND(EmployeeTable[[#This Row],[Salary]]&gt;70000, OR(EmployeeTable[[#This Row],[Rating]]="Good", EmployeeTable[[#This Row],[Rating]]="Exceptional")), "Eligible", "Not Eligible")</f>
        <v>Not Eligible</v>
      </c>
      <c r="I55" s="6">
        <f t="shared" si="1"/>
        <v>2</v>
      </c>
    </row>
    <row r="56" spans="1:9" x14ac:dyDescent="0.35">
      <c r="A56" s="2" t="s">
        <v>7</v>
      </c>
      <c r="B56" s="2" t="s">
        <v>8</v>
      </c>
      <c r="C56" s="2" t="s">
        <v>9</v>
      </c>
      <c r="D56" s="2">
        <v>22</v>
      </c>
      <c r="E56" s="1">
        <v>44446</v>
      </c>
      <c r="F56" s="3">
        <v>112780</v>
      </c>
      <c r="G56" s="2" t="s">
        <v>105</v>
      </c>
      <c r="H56" s="2" t="str">
        <f>IF(AND(EmployeeTable[[#This Row],[Salary]]&gt;70000, OR(EmployeeTable[[#This Row],[Rating]]="Good", EmployeeTable[[#This Row],[Rating]]="Exceptional")), "Eligible", "Not Eligible")</f>
        <v>Eligible</v>
      </c>
      <c r="I56" s="6">
        <f t="shared" si="1"/>
        <v>3</v>
      </c>
    </row>
    <row r="57" spans="1:9" x14ac:dyDescent="0.35">
      <c r="A57" s="2" t="s">
        <v>101</v>
      </c>
      <c r="B57" s="2" t="s">
        <v>8</v>
      </c>
      <c r="C57" s="2" t="s">
        <v>9</v>
      </c>
      <c r="D57" s="2">
        <v>33</v>
      </c>
      <c r="E57" s="1">
        <v>44385</v>
      </c>
      <c r="F57" s="3">
        <v>74550</v>
      </c>
      <c r="G57" s="2" t="s">
        <v>12</v>
      </c>
      <c r="H57" s="2" t="str">
        <f>IF(AND(EmployeeTable[[#This Row],[Salary]]&gt;70000, OR(EmployeeTable[[#This Row],[Rating]]="Good", EmployeeTable[[#This Row],[Rating]]="Exceptional")), "Eligible", "Not Eligible")</f>
        <v>Not Eligible</v>
      </c>
      <c r="I57" s="6">
        <f t="shared" si="1"/>
        <v>2</v>
      </c>
    </row>
    <row r="58" spans="1:9" x14ac:dyDescent="0.35">
      <c r="A58" s="2" t="s">
        <v>26</v>
      </c>
      <c r="B58" s="2" t="s">
        <v>8</v>
      </c>
      <c r="C58" s="2" t="s">
        <v>9</v>
      </c>
      <c r="D58" s="2">
        <v>25</v>
      </c>
      <c r="E58" s="1">
        <v>44383</v>
      </c>
      <c r="F58" s="3">
        <v>65700</v>
      </c>
      <c r="G58" s="2" t="s">
        <v>12</v>
      </c>
      <c r="H58" s="2" t="str">
        <f>IF(AND(EmployeeTable[[#This Row],[Salary]]&gt;70000, OR(EmployeeTable[[#This Row],[Rating]]="Good", EmployeeTable[[#This Row],[Rating]]="Exceptional")), "Eligible", "Not Eligible")</f>
        <v>Not Eligible</v>
      </c>
      <c r="I58" s="6">
        <f t="shared" si="1"/>
        <v>2</v>
      </c>
    </row>
    <row r="59" spans="1:9" x14ac:dyDescent="0.35">
      <c r="A59" s="2" t="s">
        <v>71</v>
      </c>
      <c r="B59" s="2" t="s">
        <v>14</v>
      </c>
      <c r="C59" s="2" t="s">
        <v>9</v>
      </c>
      <c r="D59" s="2">
        <v>38</v>
      </c>
      <c r="E59" s="1">
        <v>44377</v>
      </c>
      <c r="F59" s="3">
        <v>109160</v>
      </c>
      <c r="G59" s="2" t="s">
        <v>40</v>
      </c>
      <c r="H59" s="2" t="str">
        <f>IF(AND(EmployeeTable[[#This Row],[Salary]]&gt;70000, OR(EmployeeTable[[#This Row],[Rating]]="Good", EmployeeTable[[#This Row],[Rating]]="Exceptional")), "Eligible", "Not Eligible")</f>
        <v>Eligible</v>
      </c>
      <c r="I59" s="6">
        <f t="shared" si="1"/>
        <v>4</v>
      </c>
    </row>
    <row r="60" spans="1:9" x14ac:dyDescent="0.35">
      <c r="A60" s="2" t="s">
        <v>13</v>
      </c>
      <c r="B60" s="2" t="s">
        <v>14</v>
      </c>
      <c r="C60" s="2" t="s">
        <v>9</v>
      </c>
      <c r="D60" s="2">
        <v>28</v>
      </c>
      <c r="E60" s="1">
        <v>44357</v>
      </c>
      <c r="F60" s="3">
        <v>53240</v>
      </c>
      <c r="G60" s="2" t="s">
        <v>12</v>
      </c>
      <c r="H60" s="2" t="str">
        <f>IF(AND(EmployeeTable[[#This Row],[Salary]]&gt;70000, OR(EmployeeTable[[#This Row],[Rating]]="Good", EmployeeTable[[#This Row],[Rating]]="Exceptional")), "Eligible", "Not Eligible")</f>
        <v>Not Eligible</v>
      </c>
      <c r="I60" s="6">
        <f t="shared" si="1"/>
        <v>2</v>
      </c>
    </row>
    <row r="61" spans="1:9" x14ac:dyDescent="0.35">
      <c r="A61" s="2" t="s">
        <v>79</v>
      </c>
      <c r="B61" s="2" t="s">
        <v>14</v>
      </c>
      <c r="C61" s="2" t="s">
        <v>9</v>
      </c>
      <c r="D61" s="2">
        <v>38</v>
      </c>
      <c r="E61" s="1">
        <v>44329</v>
      </c>
      <c r="F61" s="3">
        <v>56870</v>
      </c>
      <c r="G61" s="2" t="s">
        <v>105</v>
      </c>
      <c r="H61" s="2" t="str">
        <f>IF(AND(EmployeeTable[[#This Row],[Salary]]&gt;70000, OR(EmployeeTable[[#This Row],[Rating]]="Good", EmployeeTable[[#This Row],[Rating]]="Exceptional")), "Eligible", "Not Eligible")</f>
        <v>Not Eligible</v>
      </c>
      <c r="I61" s="6">
        <f t="shared" si="1"/>
        <v>3</v>
      </c>
    </row>
    <row r="62" spans="1:9" x14ac:dyDescent="0.35">
      <c r="A62" s="2" t="s">
        <v>80</v>
      </c>
      <c r="B62" s="2" t="s">
        <v>14</v>
      </c>
      <c r="C62" s="2" t="s">
        <v>9</v>
      </c>
      <c r="D62" s="2">
        <v>25</v>
      </c>
      <c r="E62" s="1">
        <v>44205</v>
      </c>
      <c r="F62" s="3">
        <v>92700</v>
      </c>
      <c r="G62" s="2" t="s">
        <v>12</v>
      </c>
      <c r="H62" s="2" t="str">
        <f>IF(AND(EmployeeTable[[#This Row],[Salary]]&gt;70000, OR(EmployeeTable[[#This Row],[Rating]]="Good", EmployeeTable[[#This Row],[Rating]]="Exceptional")), "Eligible", "Not Eligible")</f>
        <v>Not Eligible</v>
      </c>
      <c r="I62" s="6">
        <f t="shared" si="1"/>
        <v>2</v>
      </c>
    </row>
    <row r="63" spans="1:9" x14ac:dyDescent="0.35">
      <c r="A63" s="2" t="s">
        <v>78</v>
      </c>
      <c r="B63" s="2" t="s">
        <v>8</v>
      </c>
      <c r="C63" s="2" t="s">
        <v>9</v>
      </c>
      <c r="D63" s="2">
        <v>27</v>
      </c>
      <c r="E63" s="1">
        <v>44134</v>
      </c>
      <c r="F63" s="3">
        <v>54970</v>
      </c>
      <c r="G63" s="2" t="s">
        <v>12</v>
      </c>
      <c r="H63" s="2" t="str">
        <f>IF(AND(EmployeeTable[[#This Row],[Salary]]&gt;70000, OR(EmployeeTable[[#This Row],[Rating]]="Good", EmployeeTable[[#This Row],[Rating]]="Exceptional")), "Eligible", "Not Eligible")</f>
        <v>Not Eligible</v>
      </c>
      <c r="I63" s="6">
        <f t="shared" si="1"/>
        <v>2</v>
      </c>
    </row>
    <row r="64" spans="1:9" x14ac:dyDescent="0.35">
      <c r="A64" s="2" t="s">
        <v>76</v>
      </c>
      <c r="B64" s="2" t="s">
        <v>14</v>
      </c>
      <c r="C64" s="2" t="s">
        <v>21</v>
      </c>
      <c r="D64" s="2">
        <v>43</v>
      </c>
      <c r="E64" s="1">
        <v>45045</v>
      </c>
      <c r="F64" s="3">
        <v>114870</v>
      </c>
      <c r="G64" s="2" t="s">
        <v>12</v>
      </c>
      <c r="H64" s="2" t="str">
        <f>IF(AND(EmployeeTable[[#This Row],[Salary]]&gt;70000, OR(EmployeeTable[[#This Row],[Rating]]="Good", EmployeeTable[[#This Row],[Rating]]="Exceptional")), "Eligible", "Not Eligible")</f>
        <v>Not Eligible</v>
      </c>
      <c r="I64" s="6">
        <f t="shared" si="1"/>
        <v>2</v>
      </c>
    </row>
    <row r="65" spans="1:9" x14ac:dyDescent="0.35">
      <c r="A65" s="2" t="s">
        <v>69</v>
      </c>
      <c r="B65" s="2" t="s">
        <v>8</v>
      </c>
      <c r="C65" s="2" t="s">
        <v>21</v>
      </c>
      <c r="D65" s="2">
        <v>30</v>
      </c>
      <c r="E65" s="1">
        <v>44850</v>
      </c>
      <c r="F65" s="3">
        <v>69710</v>
      </c>
      <c r="G65" s="2" t="s">
        <v>12</v>
      </c>
      <c r="H65" s="2" t="str">
        <f>IF(AND(EmployeeTable[[#This Row],[Salary]]&gt;70000, OR(EmployeeTable[[#This Row],[Rating]]="Good", EmployeeTable[[#This Row],[Rating]]="Exceptional")), "Eligible", "Not Eligible")</f>
        <v>Not Eligible</v>
      </c>
      <c r="I65" s="6">
        <f t="shared" si="1"/>
        <v>2</v>
      </c>
    </row>
    <row r="66" spans="1:9" x14ac:dyDescent="0.35">
      <c r="A66" s="2" t="s">
        <v>27</v>
      </c>
      <c r="B66" s="2" t="s">
        <v>8</v>
      </c>
      <c r="C66" s="2" t="s">
        <v>21</v>
      </c>
      <c r="D66" s="2">
        <v>37</v>
      </c>
      <c r="E66" s="1">
        <v>44701</v>
      </c>
      <c r="F66" s="3">
        <v>69070</v>
      </c>
      <c r="G66" s="2" t="s">
        <v>12</v>
      </c>
      <c r="H66" s="2" t="str">
        <f>IF(AND(EmployeeTable[[#This Row],[Salary]]&gt;70000, OR(EmployeeTable[[#This Row],[Rating]]="Good", EmployeeTable[[#This Row],[Rating]]="Exceptional")), "Eligible", "Not Eligible")</f>
        <v>Not Eligible</v>
      </c>
      <c r="I66" s="6">
        <f t="shared" ref="I66:I88" si="2">IF(G66="Poor",1,IF(G66="Average",2,IF(G66="Good",3,IF(G66="Exceptional",4,""))))</f>
        <v>2</v>
      </c>
    </row>
    <row r="67" spans="1:9" x14ac:dyDescent="0.35">
      <c r="A67" s="2" t="s">
        <v>63</v>
      </c>
      <c r="B67" s="2" t="s">
        <v>14</v>
      </c>
      <c r="C67" s="2" t="s">
        <v>21</v>
      </c>
      <c r="D67" s="2">
        <v>25</v>
      </c>
      <c r="E67" s="1">
        <v>44694</v>
      </c>
      <c r="F67" s="3">
        <v>80700</v>
      </c>
      <c r="G67" s="2" t="s">
        <v>105</v>
      </c>
      <c r="H67" s="2" t="str">
        <f>IF(AND(EmployeeTable[[#This Row],[Salary]]&gt;70000, OR(EmployeeTable[[#This Row],[Rating]]="Good", EmployeeTable[[#This Row],[Rating]]="Exceptional")), "Eligible", "Not Eligible")</f>
        <v>Eligible</v>
      </c>
      <c r="I67" s="6">
        <f t="shared" si="2"/>
        <v>3</v>
      </c>
    </row>
    <row r="68" spans="1:9" x14ac:dyDescent="0.35">
      <c r="A68" s="2" t="s">
        <v>58</v>
      </c>
      <c r="B68" s="2" t="s">
        <v>14</v>
      </c>
      <c r="C68" s="2" t="s">
        <v>21</v>
      </c>
      <c r="D68" s="2">
        <v>27</v>
      </c>
      <c r="E68" s="1">
        <v>44686</v>
      </c>
      <c r="F68" s="3">
        <v>83750</v>
      </c>
      <c r="G68" s="2" t="s">
        <v>12</v>
      </c>
      <c r="H68" s="2" t="str">
        <f>IF(AND(EmployeeTable[[#This Row],[Salary]]&gt;70000, OR(EmployeeTable[[#This Row],[Rating]]="Good", EmployeeTable[[#This Row],[Rating]]="Exceptional")), "Eligible", "Not Eligible")</f>
        <v>Not Eligible</v>
      </c>
      <c r="I68" s="6">
        <f t="shared" si="2"/>
        <v>2</v>
      </c>
    </row>
    <row r="69" spans="1:9" x14ac:dyDescent="0.35">
      <c r="A69" s="2" t="s">
        <v>86</v>
      </c>
      <c r="B69" s="2" t="s">
        <v>8</v>
      </c>
      <c r="C69" s="2" t="s">
        <v>21</v>
      </c>
      <c r="D69" s="2">
        <v>24</v>
      </c>
      <c r="E69" s="1">
        <v>44686</v>
      </c>
      <c r="F69" s="3">
        <v>100420</v>
      </c>
      <c r="G69" s="2" t="s">
        <v>12</v>
      </c>
      <c r="H69" s="2" t="str">
        <f>IF(AND(EmployeeTable[[#This Row],[Salary]]&gt;70000, OR(EmployeeTable[[#This Row],[Rating]]="Good", EmployeeTable[[#This Row],[Rating]]="Exceptional")), "Eligible", "Not Eligible")</f>
        <v>Not Eligible</v>
      </c>
      <c r="I69" s="6">
        <f t="shared" si="2"/>
        <v>2</v>
      </c>
    </row>
    <row r="70" spans="1:9" x14ac:dyDescent="0.35">
      <c r="A70" s="2" t="s">
        <v>88</v>
      </c>
      <c r="B70" s="2" t="s">
        <v>14</v>
      </c>
      <c r="C70" s="2" t="s">
        <v>21</v>
      </c>
      <c r="D70" s="2">
        <v>21</v>
      </c>
      <c r="E70" s="1">
        <v>44678</v>
      </c>
      <c r="F70" s="3">
        <v>33920</v>
      </c>
      <c r="G70" s="2" t="s">
        <v>12</v>
      </c>
      <c r="H70" s="2" t="str">
        <f>IF(AND(EmployeeTable[[#This Row],[Salary]]&gt;70000, OR(EmployeeTable[[#This Row],[Rating]]="Good", EmployeeTable[[#This Row],[Rating]]="Exceptional")), "Eligible", "Not Eligible")</f>
        <v>Not Eligible</v>
      </c>
      <c r="I70" s="6">
        <f t="shared" si="2"/>
        <v>2</v>
      </c>
    </row>
    <row r="71" spans="1:9" x14ac:dyDescent="0.35">
      <c r="A71" s="2" t="s">
        <v>37</v>
      </c>
      <c r="B71" s="2" t="s">
        <v>14</v>
      </c>
      <c r="C71" s="2" t="s">
        <v>21</v>
      </c>
      <c r="D71" s="2">
        <v>31</v>
      </c>
      <c r="E71" s="1">
        <v>44663</v>
      </c>
      <c r="F71" s="3">
        <v>58100</v>
      </c>
      <c r="G71" s="2" t="s">
        <v>12</v>
      </c>
      <c r="H71" s="2" t="str">
        <f>IF(AND(EmployeeTable[[#This Row],[Salary]]&gt;70000, OR(EmployeeTable[[#This Row],[Rating]]="Good", EmployeeTable[[#This Row],[Rating]]="Exceptional")), "Eligible", "Not Eligible")</f>
        <v>Not Eligible</v>
      </c>
      <c r="I71" s="6">
        <f t="shared" si="2"/>
        <v>2</v>
      </c>
    </row>
    <row r="72" spans="1:9" x14ac:dyDescent="0.35">
      <c r="A72" s="2" t="s">
        <v>54</v>
      </c>
      <c r="B72" s="2" t="s">
        <v>8</v>
      </c>
      <c r="C72" s="2" t="s">
        <v>21</v>
      </c>
      <c r="D72" s="2">
        <v>31</v>
      </c>
      <c r="E72" s="1">
        <v>44511</v>
      </c>
      <c r="F72" s="3">
        <v>48950</v>
      </c>
      <c r="G72" s="2" t="s">
        <v>12</v>
      </c>
      <c r="H72" s="2" t="str">
        <f>IF(AND(EmployeeTable[[#This Row],[Salary]]&gt;70000, OR(EmployeeTable[[#This Row],[Rating]]="Good", EmployeeTable[[#This Row],[Rating]]="Exceptional")), "Eligible", "Not Eligible")</f>
        <v>Not Eligible</v>
      </c>
      <c r="I72" s="6">
        <f t="shared" si="2"/>
        <v>2</v>
      </c>
    </row>
    <row r="73" spans="1:9" x14ac:dyDescent="0.35">
      <c r="A73" s="2" t="s">
        <v>22</v>
      </c>
      <c r="B73" s="2" t="s">
        <v>8</v>
      </c>
      <c r="C73" s="2" t="s">
        <v>21</v>
      </c>
      <c r="D73" s="2">
        <v>33</v>
      </c>
      <c r="E73" s="1">
        <v>44509</v>
      </c>
      <c r="F73" s="3">
        <v>53870</v>
      </c>
      <c r="G73" s="2" t="s">
        <v>12</v>
      </c>
      <c r="H73" s="2" t="str">
        <f>IF(AND(EmployeeTable[[#This Row],[Salary]]&gt;70000, OR(EmployeeTable[[#This Row],[Rating]]="Good", EmployeeTable[[#This Row],[Rating]]="Exceptional")), "Eligible", "Not Eligible")</f>
        <v>Not Eligible</v>
      </c>
      <c r="I73" s="6">
        <f t="shared" si="2"/>
        <v>2</v>
      </c>
    </row>
    <row r="74" spans="1:9" x14ac:dyDescent="0.35">
      <c r="A74" s="2" t="s">
        <v>28</v>
      </c>
      <c r="B74" s="2" t="s">
        <v>8</v>
      </c>
      <c r="C74" s="2" t="s">
        <v>21</v>
      </c>
      <c r="D74" s="2">
        <v>20</v>
      </c>
      <c r="E74" s="1">
        <v>44459</v>
      </c>
      <c r="F74" s="3">
        <v>107700</v>
      </c>
      <c r="G74" s="2" t="s">
        <v>12</v>
      </c>
      <c r="H74" s="2" t="str">
        <f>IF(AND(EmployeeTable[[#This Row],[Salary]]&gt;70000, OR(EmployeeTable[[#This Row],[Rating]]="Good", EmployeeTable[[#This Row],[Rating]]="Exceptional")), "Eligible", "Not Eligible")</f>
        <v>Not Eligible</v>
      </c>
      <c r="I74" s="6">
        <f t="shared" si="2"/>
        <v>2</v>
      </c>
    </row>
    <row r="75" spans="1:9" x14ac:dyDescent="0.35">
      <c r="A75" s="2" t="s">
        <v>93</v>
      </c>
      <c r="B75" s="2" t="s">
        <v>14</v>
      </c>
      <c r="C75" s="2" t="s">
        <v>21</v>
      </c>
      <c r="D75" s="2">
        <v>40</v>
      </c>
      <c r="E75" s="1">
        <v>44381</v>
      </c>
      <c r="F75" s="3">
        <v>104410</v>
      </c>
      <c r="G75" s="2" t="s">
        <v>12</v>
      </c>
      <c r="H75" s="2" t="str">
        <f>IF(AND(EmployeeTable[[#This Row],[Salary]]&gt;70000, OR(EmployeeTable[[#This Row],[Rating]]="Good", EmployeeTable[[#This Row],[Rating]]="Exceptional")), "Eligible", "Not Eligible")</f>
        <v>Not Eligible</v>
      </c>
      <c r="I75" s="6">
        <f t="shared" si="2"/>
        <v>2</v>
      </c>
    </row>
    <row r="76" spans="1:9" x14ac:dyDescent="0.35">
      <c r="A76" s="2" t="s">
        <v>45</v>
      </c>
      <c r="B76" s="2" t="s">
        <v>14</v>
      </c>
      <c r="C76" s="2" t="s">
        <v>21</v>
      </c>
      <c r="D76" s="2">
        <v>33</v>
      </c>
      <c r="E76" s="1">
        <v>44374</v>
      </c>
      <c r="F76" s="3">
        <v>75480</v>
      </c>
      <c r="G76" s="2" t="s">
        <v>46</v>
      </c>
      <c r="H76" s="2" t="str">
        <f>IF(AND(EmployeeTable[[#This Row],[Salary]]&gt;70000, OR(EmployeeTable[[#This Row],[Rating]]="Good", EmployeeTable[[#This Row],[Rating]]="Exceptional")), "Eligible", "Not Eligible")</f>
        <v>Not Eligible</v>
      </c>
      <c r="I76" s="6" t="str">
        <f t="shared" si="2"/>
        <v/>
      </c>
    </row>
    <row r="77" spans="1:9" x14ac:dyDescent="0.35">
      <c r="A77" s="2" t="s">
        <v>29</v>
      </c>
      <c r="B77" s="2" t="s">
        <v>14</v>
      </c>
      <c r="C77" s="2" t="s">
        <v>21</v>
      </c>
      <c r="D77" s="2">
        <v>32</v>
      </c>
      <c r="E77" s="1">
        <v>44354</v>
      </c>
      <c r="F77" s="3">
        <v>43840</v>
      </c>
      <c r="G77" s="2" t="s">
        <v>105</v>
      </c>
      <c r="H77" s="2" t="str">
        <f>IF(AND(EmployeeTable[[#This Row],[Salary]]&gt;70000, OR(EmployeeTable[[#This Row],[Rating]]="Good", EmployeeTable[[#This Row],[Rating]]="Exceptional")), "Eligible", "Not Eligible")</f>
        <v>Not Eligible</v>
      </c>
      <c r="I77" s="6">
        <f t="shared" si="2"/>
        <v>3</v>
      </c>
    </row>
    <row r="78" spans="1:9" x14ac:dyDescent="0.35">
      <c r="A78" s="2" t="s">
        <v>85</v>
      </c>
      <c r="B78" s="2" t="s">
        <v>8</v>
      </c>
      <c r="C78" s="2" t="s">
        <v>21</v>
      </c>
      <c r="D78" s="2">
        <v>37</v>
      </c>
      <c r="E78" s="1">
        <v>44338</v>
      </c>
      <c r="F78" s="3">
        <v>88050</v>
      </c>
      <c r="G78" s="2" t="s">
        <v>16</v>
      </c>
      <c r="H78" s="2" t="str">
        <f>IF(AND(EmployeeTable[[#This Row],[Salary]]&gt;70000, OR(EmployeeTable[[#This Row],[Rating]]="Good", EmployeeTable[[#This Row],[Rating]]="Exceptional")), "Eligible", "Not Eligible")</f>
        <v>Not Eligible</v>
      </c>
      <c r="I78" s="6">
        <f t="shared" si="2"/>
        <v>1</v>
      </c>
    </row>
    <row r="79" spans="1:9" x14ac:dyDescent="0.35">
      <c r="A79" s="2" t="s">
        <v>41</v>
      </c>
      <c r="B79" s="2" t="s">
        <v>14</v>
      </c>
      <c r="C79" s="2" t="s">
        <v>21</v>
      </c>
      <c r="D79" s="2">
        <v>40</v>
      </c>
      <c r="E79" s="1">
        <v>44337</v>
      </c>
      <c r="F79" s="3">
        <v>87620</v>
      </c>
      <c r="G79" s="2" t="s">
        <v>12</v>
      </c>
      <c r="H79" s="2" t="str">
        <f>IF(AND(EmployeeTable[[#This Row],[Salary]]&gt;70000, OR(EmployeeTable[[#This Row],[Rating]]="Good", EmployeeTable[[#This Row],[Rating]]="Exceptional")), "Eligible", "Not Eligible")</f>
        <v>Not Eligible</v>
      </c>
      <c r="I79" s="6">
        <f t="shared" si="2"/>
        <v>2</v>
      </c>
    </row>
    <row r="80" spans="1:9" x14ac:dyDescent="0.35">
      <c r="A80" s="2" t="s">
        <v>100</v>
      </c>
      <c r="B80" s="2" t="s">
        <v>14</v>
      </c>
      <c r="C80" s="2" t="s">
        <v>21</v>
      </c>
      <c r="D80" s="2">
        <v>33</v>
      </c>
      <c r="E80" s="1">
        <v>44312</v>
      </c>
      <c r="F80" s="3">
        <v>75280</v>
      </c>
      <c r="G80" s="2" t="s">
        <v>12</v>
      </c>
      <c r="H80" s="2" t="str">
        <f>IF(AND(EmployeeTable[[#This Row],[Salary]]&gt;70000, OR(EmployeeTable[[#This Row],[Rating]]="Good", EmployeeTable[[#This Row],[Rating]]="Exceptional")), "Eligible", "Not Eligible")</f>
        <v>Not Eligible</v>
      </c>
      <c r="I80" s="6">
        <f t="shared" si="2"/>
        <v>2</v>
      </c>
    </row>
    <row r="81" spans="1:9" x14ac:dyDescent="0.35">
      <c r="A81" s="2" t="s">
        <v>73</v>
      </c>
      <c r="B81" s="2" t="s">
        <v>8</v>
      </c>
      <c r="C81" s="2" t="s">
        <v>21</v>
      </c>
      <c r="D81" s="2">
        <v>30</v>
      </c>
      <c r="E81" s="1">
        <v>44273</v>
      </c>
      <c r="F81" s="3">
        <v>69120</v>
      </c>
      <c r="G81" s="2" t="s">
        <v>12</v>
      </c>
      <c r="H81" s="2" t="str">
        <f>IF(AND(EmployeeTable[[#This Row],[Salary]]&gt;70000, OR(EmployeeTable[[#This Row],[Rating]]="Good", EmployeeTable[[#This Row],[Rating]]="Exceptional")), "Eligible", "Not Eligible")</f>
        <v>Not Eligible</v>
      </c>
      <c r="I81" s="6">
        <f t="shared" si="2"/>
        <v>2</v>
      </c>
    </row>
    <row r="82" spans="1:9" x14ac:dyDescent="0.35">
      <c r="A82" s="2" t="s">
        <v>52</v>
      </c>
      <c r="B82" s="2" t="s">
        <v>14</v>
      </c>
      <c r="C82" s="2" t="s">
        <v>21</v>
      </c>
      <c r="D82" s="2">
        <v>33</v>
      </c>
      <c r="E82" s="1">
        <v>44190</v>
      </c>
      <c r="F82" s="3">
        <v>96140</v>
      </c>
      <c r="G82" s="2" t="s">
        <v>12</v>
      </c>
      <c r="H82" s="2" t="str">
        <f>IF(AND(EmployeeTable[[#This Row],[Salary]]&gt;70000, OR(EmployeeTable[[#This Row],[Rating]]="Good", EmployeeTable[[#This Row],[Rating]]="Exceptional")), "Eligible", "Not Eligible")</f>
        <v>Not Eligible</v>
      </c>
      <c r="I82" s="6">
        <f t="shared" si="2"/>
        <v>2</v>
      </c>
    </row>
    <row r="83" spans="1:9" x14ac:dyDescent="0.35">
      <c r="A83" s="2" t="s">
        <v>60</v>
      </c>
      <c r="B83" s="2" t="s">
        <v>8</v>
      </c>
      <c r="C83" s="2" t="s">
        <v>21</v>
      </c>
      <c r="D83" s="2">
        <v>20</v>
      </c>
      <c r="E83" s="1">
        <v>44183</v>
      </c>
      <c r="F83" s="3">
        <v>112650</v>
      </c>
      <c r="G83" s="2" t="s">
        <v>12</v>
      </c>
      <c r="H83" s="2" t="str">
        <f>IF(AND(EmployeeTable[[#This Row],[Salary]]&gt;70000, OR(EmployeeTable[[#This Row],[Rating]]="Good", EmployeeTable[[#This Row],[Rating]]="Exceptional")), "Eligible", "Not Eligible")</f>
        <v>Not Eligible</v>
      </c>
      <c r="I83" s="6">
        <f t="shared" si="2"/>
        <v>2</v>
      </c>
    </row>
    <row r="84" spans="1:9" x14ac:dyDescent="0.35">
      <c r="A84" s="2" t="s">
        <v>25</v>
      </c>
      <c r="B84" s="2" t="s">
        <v>8</v>
      </c>
      <c r="C84" s="2" t="s">
        <v>21</v>
      </c>
      <c r="D84" s="2">
        <v>29</v>
      </c>
      <c r="E84" s="1">
        <v>44180</v>
      </c>
      <c r="F84" s="3">
        <v>112110</v>
      </c>
      <c r="G84" s="2" t="s">
        <v>16</v>
      </c>
      <c r="H84" s="2" t="str">
        <f>IF(AND(EmployeeTable[[#This Row],[Salary]]&gt;70000, OR(EmployeeTable[[#This Row],[Rating]]="Good", EmployeeTable[[#This Row],[Rating]]="Exceptional")), "Eligible", "Not Eligible")</f>
        <v>Not Eligible</v>
      </c>
      <c r="I84" s="6">
        <f t="shared" si="2"/>
        <v>1</v>
      </c>
    </row>
    <row r="85" spans="1:9" x14ac:dyDescent="0.35">
      <c r="A85" s="2" t="s">
        <v>20</v>
      </c>
      <c r="B85" s="2" t="s">
        <v>14</v>
      </c>
      <c r="C85" s="2" t="s">
        <v>21</v>
      </c>
      <c r="D85" s="2">
        <v>24</v>
      </c>
      <c r="E85" s="1">
        <v>44148</v>
      </c>
      <c r="F85" s="3">
        <v>62780</v>
      </c>
      <c r="G85" s="2" t="s">
        <v>12</v>
      </c>
      <c r="H85" s="2" t="str">
        <f>IF(AND(EmployeeTable[[#This Row],[Salary]]&gt;70000, OR(EmployeeTable[[#This Row],[Rating]]="Good", EmployeeTable[[#This Row],[Rating]]="Exceptional")), "Eligible", "Not Eligible")</f>
        <v>Not Eligible</v>
      </c>
      <c r="I85" s="6">
        <f t="shared" si="2"/>
        <v>2</v>
      </c>
    </row>
    <row r="86" spans="1:9" x14ac:dyDescent="0.35">
      <c r="A86" s="2" t="s">
        <v>33</v>
      </c>
      <c r="B86" s="2" t="s">
        <v>14</v>
      </c>
      <c r="C86" s="2" t="s">
        <v>21</v>
      </c>
      <c r="D86" s="2">
        <v>31</v>
      </c>
      <c r="E86" s="1">
        <v>44145</v>
      </c>
      <c r="F86" s="3">
        <v>41980</v>
      </c>
      <c r="G86" s="2" t="s">
        <v>12</v>
      </c>
      <c r="H86" s="2" t="str">
        <f>IF(AND(EmployeeTable[[#This Row],[Salary]]&gt;70000, OR(EmployeeTable[[#This Row],[Rating]]="Good", EmployeeTable[[#This Row],[Rating]]="Exceptional")), "Eligible", "Not Eligible")</f>
        <v>Not Eligible</v>
      </c>
      <c r="I86" s="6">
        <f t="shared" si="2"/>
        <v>2</v>
      </c>
    </row>
    <row r="87" spans="1:9" x14ac:dyDescent="0.35">
      <c r="A87" s="2" t="s">
        <v>42</v>
      </c>
      <c r="B87" s="2" t="s">
        <v>14</v>
      </c>
      <c r="C87" s="2" t="s">
        <v>21</v>
      </c>
      <c r="D87" s="2">
        <v>29</v>
      </c>
      <c r="E87" s="1">
        <v>44023</v>
      </c>
      <c r="F87" s="3">
        <v>34980</v>
      </c>
      <c r="G87" s="2" t="s">
        <v>12</v>
      </c>
      <c r="H87" s="2" t="str">
        <f>IF(AND(EmployeeTable[[#This Row],[Salary]]&gt;70000, OR(EmployeeTable[[#This Row],[Rating]]="Good", EmployeeTable[[#This Row],[Rating]]="Exceptional")), "Eligible", "Not Eligible")</f>
        <v>Not Eligible</v>
      </c>
      <c r="I87" s="6">
        <f t="shared" si="2"/>
        <v>2</v>
      </c>
    </row>
    <row r="88" spans="1:9" x14ac:dyDescent="0.35">
      <c r="A88" s="2" t="s">
        <v>65</v>
      </c>
      <c r="B88" s="2" t="s">
        <v>8</v>
      </c>
      <c r="C88" s="2" t="s">
        <v>21</v>
      </c>
      <c r="D88" s="2">
        <v>36</v>
      </c>
      <c r="E88" s="1">
        <v>44019</v>
      </c>
      <c r="F88" s="3">
        <v>118840</v>
      </c>
      <c r="G88" s="2" t="s">
        <v>12</v>
      </c>
      <c r="H88" s="2" t="str">
        <f>IF(AND(EmployeeTable[[#This Row],[Salary]]&gt;70000, OR(EmployeeTable[[#This Row],[Rating]]="Good", EmployeeTable[[#This Row],[Rating]]="Exceptional")), "Eligible", "Not Eligible")</f>
        <v>Not Eligible</v>
      </c>
      <c r="I88" s="6">
        <f t="shared" si="2"/>
        <v>2</v>
      </c>
    </row>
    <row r="89" spans="1:9" x14ac:dyDescent="0.35">
      <c r="D89">
        <f>AVERAGE(D2:D88)</f>
        <v>30.356321839080461</v>
      </c>
      <c r="F89" s="3">
        <f>SUM(EmployeeTable[Salary])</f>
        <v>6643620</v>
      </c>
      <c r="G89">
        <f>COUNTIF(EmployeeTable[Rating],"Average")</f>
        <v>66</v>
      </c>
    </row>
    <row r="90" spans="1:9" x14ac:dyDescent="0.35">
      <c r="F90" s="3">
        <f>MAX(EmployeeTable[Salary])</f>
        <v>119110</v>
      </c>
    </row>
    <row r="91" spans="1:9" x14ac:dyDescent="0.35">
      <c r="F91" s="3">
        <f>MIN(EmployeeTable[Salary])</f>
        <v>33920</v>
      </c>
    </row>
  </sheetData>
  <conditionalFormatting sqref="I9">
    <cfRule type="duplicateValues" dxfId="44" priority="5"/>
  </conditionalFormatting>
  <conditionalFormatting sqref="A98:A1048576 A1:A88">
    <cfRule type="duplicateValues" dxfId="43" priority="4"/>
  </conditionalFormatting>
  <conditionalFormatting sqref="A2:I88">
    <cfRule type="expression" dxfId="42" priority="2">
      <formula>$H2="Eligible"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2E16-1BB7-4277-9814-11CDF8A45C99}">
  <dimension ref="A2:I43"/>
  <sheetViews>
    <sheetView tabSelected="1" zoomScale="28" workbookViewId="0">
      <selection activeCell="A29" sqref="A29"/>
    </sheetView>
  </sheetViews>
  <sheetFormatPr defaultRowHeight="14.5" x14ac:dyDescent="0.35"/>
  <cols>
    <col min="1" max="1" width="18.1796875" bestFit="1" customWidth="1"/>
    <col min="2" max="2" width="19.54296875" bestFit="1" customWidth="1"/>
    <col min="3" max="3" width="17.90625" bestFit="1" customWidth="1"/>
    <col min="4" max="4" width="3.453125" customWidth="1"/>
    <col min="5" max="5" width="19.08984375" bestFit="1" customWidth="1"/>
    <col min="6" max="6" width="17.90625" bestFit="1" customWidth="1"/>
    <col min="7" max="7" width="3.7265625" style="5" customWidth="1"/>
    <col min="8" max="8" width="19.08984375" bestFit="1" customWidth="1"/>
    <col min="9" max="9" width="31.7265625" bestFit="1" customWidth="1"/>
    <col min="10" max="10" width="3.81640625" customWidth="1"/>
    <col min="11" max="11" width="12.6328125" bestFit="1" customWidth="1"/>
    <col min="12" max="12" width="13.81640625" bestFit="1" customWidth="1"/>
  </cols>
  <sheetData>
    <row r="2" spans="1:9" ht="21" x14ac:dyDescent="0.5">
      <c r="A2" s="7" t="s">
        <v>107</v>
      </c>
      <c r="B2" s="8" t="s">
        <v>109</v>
      </c>
      <c r="F2" s="5"/>
      <c r="I2" s="4"/>
    </row>
    <row r="3" spans="1:9" ht="21" x14ac:dyDescent="0.5">
      <c r="A3" s="9" t="s">
        <v>14</v>
      </c>
      <c r="B3" s="10">
        <v>43</v>
      </c>
      <c r="F3" s="5"/>
      <c r="I3" s="5"/>
    </row>
    <row r="4" spans="1:9" ht="21" x14ac:dyDescent="0.5">
      <c r="A4" s="9" t="s">
        <v>8</v>
      </c>
      <c r="B4" s="10">
        <v>44</v>
      </c>
      <c r="F4" s="5"/>
    </row>
    <row r="5" spans="1:9" ht="21" x14ac:dyDescent="0.5">
      <c r="A5" s="9" t="s">
        <v>108</v>
      </c>
      <c r="B5" s="10">
        <v>87</v>
      </c>
      <c r="F5" s="5"/>
    </row>
    <row r="6" spans="1:9" x14ac:dyDescent="0.35">
      <c r="F6" s="5"/>
    </row>
    <row r="7" spans="1:9" x14ac:dyDescent="0.35">
      <c r="F7" s="5"/>
    </row>
    <row r="8" spans="1:9" ht="21" x14ac:dyDescent="0.5">
      <c r="A8" s="7" t="s">
        <v>107</v>
      </c>
      <c r="B8" s="8" t="s">
        <v>109</v>
      </c>
      <c r="F8" s="5"/>
    </row>
    <row r="9" spans="1:9" ht="21" x14ac:dyDescent="0.5">
      <c r="A9" s="9" t="s">
        <v>15</v>
      </c>
      <c r="B9" s="10">
        <v>17</v>
      </c>
      <c r="E9" s="5"/>
      <c r="F9" s="5"/>
      <c r="G9"/>
    </row>
    <row r="10" spans="1:9" ht="21" x14ac:dyDescent="0.5">
      <c r="A10" s="9" t="s">
        <v>24</v>
      </c>
      <c r="B10" s="10">
        <v>4</v>
      </c>
      <c r="F10" s="5"/>
      <c r="G10"/>
    </row>
    <row r="11" spans="1:9" ht="21" x14ac:dyDescent="0.5">
      <c r="A11" s="9" t="s">
        <v>11</v>
      </c>
      <c r="B11" s="10">
        <v>27</v>
      </c>
      <c r="F11" s="5"/>
      <c r="G11"/>
    </row>
    <row r="12" spans="1:9" ht="21" x14ac:dyDescent="0.5">
      <c r="A12" s="9" t="s">
        <v>9</v>
      </c>
      <c r="B12" s="10">
        <v>14</v>
      </c>
      <c r="F12" s="5"/>
      <c r="G12"/>
    </row>
    <row r="13" spans="1:9" ht="21" x14ac:dyDescent="0.5">
      <c r="A13" s="9" t="s">
        <v>21</v>
      </c>
      <c r="B13" s="10">
        <v>25</v>
      </c>
      <c r="F13" s="5"/>
      <c r="G13"/>
    </row>
    <row r="14" spans="1:9" ht="21" x14ac:dyDescent="0.5">
      <c r="A14" s="9" t="s">
        <v>108</v>
      </c>
      <c r="B14" s="10">
        <v>87</v>
      </c>
    </row>
    <row r="17" spans="1:2" ht="21" x14ac:dyDescent="0.5">
      <c r="A17" s="11" t="s">
        <v>107</v>
      </c>
      <c r="B17" s="12" t="s">
        <v>110</v>
      </c>
    </row>
    <row r="18" spans="1:2" ht="21" x14ac:dyDescent="0.5">
      <c r="A18" s="13" t="s">
        <v>15</v>
      </c>
      <c r="B18" s="12">
        <v>1.9411764705882353</v>
      </c>
    </row>
    <row r="19" spans="1:2" ht="21" x14ac:dyDescent="0.5">
      <c r="A19" s="13" t="s">
        <v>24</v>
      </c>
      <c r="B19" s="12">
        <v>2</v>
      </c>
    </row>
    <row r="20" spans="1:2" ht="21" x14ac:dyDescent="0.5">
      <c r="A20" s="13" t="s">
        <v>11</v>
      </c>
      <c r="B20" s="12">
        <v>2.1923076923076925</v>
      </c>
    </row>
    <row r="21" spans="1:2" ht="21" x14ac:dyDescent="0.5">
      <c r="A21" s="13" t="s">
        <v>9</v>
      </c>
      <c r="B21" s="12">
        <v>2.1538461538461537</v>
      </c>
    </row>
    <row r="22" spans="1:2" ht="21" x14ac:dyDescent="0.5">
      <c r="A22" s="13" t="s">
        <v>21</v>
      </c>
      <c r="B22" s="12">
        <v>2</v>
      </c>
    </row>
    <row r="23" spans="1:2" ht="21" x14ac:dyDescent="0.5">
      <c r="A23" s="13" t="s">
        <v>108</v>
      </c>
      <c r="B23" s="12">
        <v>2.0714285714285716</v>
      </c>
    </row>
    <row r="26" spans="1:2" ht="21" x14ac:dyDescent="0.5">
      <c r="A26" s="7" t="s">
        <v>107</v>
      </c>
      <c r="B26" s="8" t="s">
        <v>109</v>
      </c>
    </row>
    <row r="27" spans="1:2" ht="21" x14ac:dyDescent="0.5">
      <c r="A27" s="9" t="s">
        <v>111</v>
      </c>
      <c r="B27" s="10">
        <v>15</v>
      </c>
    </row>
    <row r="28" spans="1:2" ht="21" x14ac:dyDescent="0.5">
      <c r="A28" s="9" t="s">
        <v>112</v>
      </c>
      <c r="B28" s="10">
        <v>39</v>
      </c>
    </row>
    <row r="29" spans="1:2" ht="21" x14ac:dyDescent="0.5">
      <c r="A29" s="9" t="s">
        <v>113</v>
      </c>
      <c r="B29" s="10">
        <v>32</v>
      </c>
    </row>
    <row r="30" spans="1:2" ht="21" x14ac:dyDescent="0.5">
      <c r="A30" s="9" t="s">
        <v>114</v>
      </c>
      <c r="B30" s="10">
        <v>1</v>
      </c>
    </row>
    <row r="31" spans="1:2" ht="21" x14ac:dyDescent="0.5">
      <c r="A31" s="9" t="s">
        <v>108</v>
      </c>
      <c r="B31" s="10">
        <v>87</v>
      </c>
    </row>
    <row r="32" spans="1:2" ht="21" x14ac:dyDescent="0.5"/>
    <row r="33" ht="21" x14ac:dyDescent="0.5"/>
    <row r="34" ht="21" x14ac:dyDescent="0.5"/>
    <row r="35" ht="21" x14ac:dyDescent="0.5"/>
    <row r="36" ht="21" x14ac:dyDescent="0.5"/>
    <row r="37" ht="21" x14ac:dyDescent="0.5"/>
    <row r="38" ht="21" x14ac:dyDescent="0.5"/>
    <row r="39" ht="21" x14ac:dyDescent="0.5"/>
    <row r="40" ht="21" x14ac:dyDescent="0.5"/>
    <row r="41" ht="21" x14ac:dyDescent="0.5"/>
    <row r="42" ht="21" x14ac:dyDescent="0.5"/>
    <row r="43" ht="21" x14ac:dyDescent="0.5"/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data_analysis</vt:lpstr>
      <vt:lpstr>visualizations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Sadia Amena</dc:creator>
  <cp:lastModifiedBy>Sadia Amena</cp:lastModifiedBy>
  <dcterms:created xsi:type="dcterms:W3CDTF">2026-01-13T08:39:55Z</dcterms:created>
  <dcterms:modified xsi:type="dcterms:W3CDTF">2026-01-13T15:22:38Z</dcterms:modified>
</cp:coreProperties>
</file>